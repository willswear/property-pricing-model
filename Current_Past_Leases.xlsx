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p\property_project\"/>
    </mc:Choice>
  </mc:AlternateContent>
  <xr:revisionPtr revIDLastSave="0" documentId="13_ncr:1_{D0C6DA0A-B7FD-4225-8721-F1CF90853FE9}" xr6:coauthVersionLast="47" xr6:coauthVersionMax="47" xr10:uidLastSave="{00000000-0000-0000-0000-000000000000}"/>
  <bookViews>
    <workbookView xWindow="44040" yWindow="-120" windowWidth="29040" windowHeight="15720" xr2:uid="{00000000-000D-0000-FFFF-FFFF00000000}"/>
  </bookViews>
  <sheets>
    <sheet name="master" sheetId="1" r:id="rId1"/>
    <sheet name="bathroom data" sheetId="4" r:id="rId2"/>
    <sheet name="bedroom data" sheetId="3" r:id="rId3"/>
    <sheet name="sqft data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2" i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2" i="4"/>
  <c r="E309" i="1"/>
  <c r="E36" i="1"/>
  <c r="E34" i="1"/>
  <c r="E3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B2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2" i="1"/>
  <c r="B8" i="1"/>
  <c r="B3" i="1"/>
  <c r="B4" i="1"/>
  <c r="B5" i="1"/>
  <c r="B6" i="1"/>
  <c r="B7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</calcChain>
</file>

<file path=xl/sharedStrings.xml><?xml version="1.0" encoding="utf-8"?>
<sst xmlns="http://schemas.openxmlformats.org/spreadsheetml/2006/main" count="9541" uniqueCount="2079">
  <si>
    <t>Property</t>
  </si>
  <si>
    <t>Owner First</t>
  </si>
  <si>
    <t>Arrival</t>
  </si>
  <si>
    <t>Departure</t>
  </si>
  <si>
    <t>Daily/Nightly Rate</t>
  </si>
  <si>
    <t>Created</t>
  </si>
  <si>
    <t>Parking</t>
  </si>
  <si>
    <t>Pets Allowed</t>
  </si>
  <si>
    <t>Testing street NW Unit 123, testing city, DC 22209</t>
  </si>
  <si>
    <t>Animesh</t>
  </si>
  <si>
    <t>Aug 26, 2025</t>
  </si>
  <si>
    <t>Nov 19, 2025</t>
  </si>
  <si>
    <t>Aug 25, 2025</t>
  </si>
  <si>
    <t>No</t>
  </si>
  <si>
    <t>Testing Property Unit 222, Washington, DC 20003</t>
  </si>
  <si>
    <t>tester</t>
  </si>
  <si>
    <t>Aug 01, 2025</t>
  </si>
  <si>
    <t>Oct 01, 2025</t>
  </si>
  <si>
    <t>Aug 19, 2025</t>
  </si>
  <si>
    <t>SOJOURN: 1716 17th Street NW Unit 301, Washington, DC 20009</t>
  </si>
  <si>
    <t>Jessica</t>
  </si>
  <si>
    <t>Jun 10, 2025</t>
  </si>
  <si>
    <t>Jul 14, 2025</t>
  </si>
  <si>
    <t>Jun 01, 2025</t>
  </si>
  <si>
    <t>Jul 28, 2025</t>
  </si>
  <si>
    <t>Aug 16, 2025</t>
  </si>
  <si>
    <t>Jun 15, 2025</t>
  </si>
  <si>
    <t>SOJOURN: 1716 17th Street NW Unit 102, Washington, DC 20009</t>
  </si>
  <si>
    <t>Dec 13, 2025</t>
  </si>
  <si>
    <t>Dec 14, 2025</t>
  </si>
  <si>
    <t>Nov 20, 2024</t>
  </si>
  <si>
    <t>DO NOT USE xxxx218 E St. NE NE Unit 1AB, Washington, DC 20002</t>
  </si>
  <si>
    <t>Aine</t>
  </si>
  <si>
    <t>May 01, 2025</t>
  </si>
  <si>
    <t>Oct 31, 2025</t>
  </si>
  <si>
    <t>Mar 28, 2025</t>
  </si>
  <si>
    <t>Yes</t>
  </si>
  <si>
    <t>DO NOT USE 1766 T Street, NW, Unit 1AB, Washington, DC 20009</t>
  </si>
  <si>
    <t>Carol</t>
  </si>
  <si>
    <t>Mar 01, 2025</t>
  </si>
  <si>
    <t>Aug 31, 2025</t>
  </si>
  <si>
    <t>Feb 23, 2025</t>
  </si>
  <si>
    <t>DO NOT USE -  5225 Macomb NW Unit B, Washington, DC 20016</t>
  </si>
  <si>
    <t>Tim</t>
  </si>
  <si>
    <t>Jul 01, 2025</t>
  </si>
  <si>
    <t>Sep 30, 2025</t>
  </si>
  <si>
    <t>Feb 13, 2025</t>
  </si>
  <si>
    <t>936 T Street NW Unit #B, Washington, DC 20001</t>
  </si>
  <si>
    <t>Hershel</t>
  </si>
  <si>
    <t>Mar 24, 2025</t>
  </si>
  <si>
    <t>Dec 25, 2025</t>
  </si>
  <si>
    <t>Dec 24, 2024</t>
  </si>
  <si>
    <t>922 24th Street NW Unit 515, Washington, DC 20037</t>
  </si>
  <si>
    <t>Ashley</t>
  </si>
  <si>
    <t>Jan 28, 2025</t>
  </si>
  <si>
    <t>Jul 26, 2025</t>
  </si>
  <si>
    <t>Jan 22, 2025</t>
  </si>
  <si>
    <t>Feb 08, 2026</t>
  </si>
  <si>
    <t>Aug 31, 2026</t>
  </si>
  <si>
    <t>Jan 26, 2026</t>
  </si>
  <si>
    <t>921 South Carolina Avenue SE Unit House, Washington, DC 20003</t>
  </si>
  <si>
    <t>Zachary</t>
  </si>
  <si>
    <t>Mar 22, 2025</t>
  </si>
  <si>
    <t>Jul 04, 2025</t>
  </si>
  <si>
    <t>Mar 10, 2025</t>
  </si>
  <si>
    <t>Dec 09, 2025</t>
  </si>
  <si>
    <t>Jan 15, 2026</t>
  </si>
  <si>
    <t>Nov 25, 2025</t>
  </si>
  <si>
    <t>Jan 17, 2026</t>
  </si>
  <si>
    <t>Jan 17, 2027</t>
  </si>
  <si>
    <t>Jan 07, 2026</t>
  </si>
  <si>
    <t>921 South Carolina Avenue SE Unit Basement, Washington, DC 20003</t>
  </si>
  <si>
    <t>May 27, 2025</t>
  </si>
  <si>
    <t>Aug 12, 2025</t>
  </si>
  <si>
    <t>May 05, 2025</t>
  </si>
  <si>
    <t>Nov 30, 2025</t>
  </si>
  <si>
    <t>Oct 27, 2025</t>
  </si>
  <si>
    <t>May 09, 2026</t>
  </si>
  <si>
    <t>Jun 18, 2026</t>
  </si>
  <si>
    <t>Apr 14, 2026</t>
  </si>
  <si>
    <t>915 E Street NW Unit 201, Washington, DC 20004</t>
  </si>
  <si>
    <t>Scott</t>
  </si>
  <si>
    <t>Jan 21, 2026</t>
  </si>
  <si>
    <t>Dec 31, 2026</t>
  </si>
  <si>
    <t>Jan 02, 2026</t>
  </si>
  <si>
    <t>905 N Street NW Unit 1, Washington, DC 20001</t>
  </si>
  <si>
    <t>Griz</t>
  </si>
  <si>
    <t>Feb 01, 2025</t>
  </si>
  <si>
    <t>Nov 22, 2025</t>
  </si>
  <si>
    <t>Dec 09, 2024</t>
  </si>
  <si>
    <t>Jan 16, 2026</t>
  </si>
  <si>
    <t>Dec 10, 2025</t>
  </si>
  <si>
    <t>Jan 20, 2026</t>
  </si>
  <si>
    <t>Aug 01, 2026</t>
  </si>
  <si>
    <t>Aug 15, 2026</t>
  </si>
  <si>
    <t>Oct 11, 2026</t>
  </si>
  <si>
    <t>Apr 30, 2026</t>
  </si>
  <si>
    <t>905 N Street NW Unit 2, Washington, DC 20001</t>
  </si>
  <si>
    <t>Nov 06, 2024</t>
  </si>
  <si>
    <t>Aug 02, 2025</t>
  </si>
  <si>
    <t>Oct 24, 2024</t>
  </si>
  <si>
    <t>Aug 23, 2025</t>
  </si>
  <si>
    <t>Jan 10, 2026</t>
  </si>
  <si>
    <t>Jun 18, 2025</t>
  </si>
  <si>
    <t>Feb 07, 2026</t>
  </si>
  <si>
    <t>May 31, 2026</t>
  </si>
  <si>
    <t>Feb 05, 2026</t>
  </si>
  <si>
    <t>Jun 06, 2026</t>
  </si>
  <si>
    <t>Apr 24, 2026</t>
  </si>
  <si>
    <t>905 N Street NW Unit B, Washington, DC 20001</t>
  </si>
  <si>
    <t>May 18, 2025</t>
  </si>
  <si>
    <t>Jun 21, 2025</t>
  </si>
  <si>
    <t>Feb 03, 2025</t>
  </si>
  <si>
    <t>Jun 23, 2025</t>
  </si>
  <si>
    <t>Sep 08, 2025</t>
  </si>
  <si>
    <t>Feb 05, 2025</t>
  </si>
  <si>
    <t>Sep 27, 2025</t>
  </si>
  <si>
    <t>Nov 21, 2025</t>
  </si>
  <si>
    <t>Feb 11, 2026</t>
  </si>
  <si>
    <t>Mar 30, 2026</t>
  </si>
  <si>
    <t>Dec 26, 2025</t>
  </si>
  <si>
    <t>May 28, 2026</t>
  </si>
  <si>
    <t>May 29, 2026</t>
  </si>
  <si>
    <t>May 11, 2026</t>
  </si>
  <si>
    <t>Aug 02, 2026</t>
  </si>
  <si>
    <t>May 12, 2026</t>
  </si>
  <si>
    <t>88 V Street SW Unit 203, Washington, DC 20024</t>
  </si>
  <si>
    <t>Wintaye</t>
  </si>
  <si>
    <t>Mar 05, 2026</t>
  </si>
  <si>
    <t>Apr 10, 2026</t>
  </si>
  <si>
    <t>851 North Glebe Road Unit 2009, Arlington, VA 22203</t>
  </si>
  <si>
    <t>Melanie</t>
  </si>
  <si>
    <t>Jan 01, 2025</t>
  </si>
  <si>
    <t>Jun 30, 2025</t>
  </si>
  <si>
    <t>Dec 26, 2024</t>
  </si>
  <si>
    <t>Dec 31, 2025</t>
  </si>
  <si>
    <t>Jun 05, 2026</t>
  </si>
  <si>
    <t>Oct 16, 2025</t>
  </si>
  <si>
    <t>Nov 01, 2026</t>
  </si>
  <si>
    <t>Aug 31, 2027</t>
  </si>
  <si>
    <t>May 15, 2026</t>
  </si>
  <si>
    <t>843 Upshur Street NW Unit 1, Washington, DC 20011</t>
  </si>
  <si>
    <t>Marc</t>
  </si>
  <si>
    <t>Dec 02, 2024</t>
  </si>
  <si>
    <t>Jul 31, 2026</t>
  </si>
  <si>
    <t>Jan 05, 2026</t>
  </si>
  <si>
    <t>818 19th Street Unit House, Arlington, VA 22202</t>
  </si>
  <si>
    <t>Kelly</t>
  </si>
  <si>
    <t>Apr 29, 2026</t>
  </si>
  <si>
    <t>Jun 29, 2026</t>
  </si>
  <si>
    <t>816 Potomac Avenue SE Unit 202, Washington, DC 20003</t>
  </si>
  <si>
    <t>Julio</t>
  </si>
  <si>
    <t>Jan 08, 2026</t>
  </si>
  <si>
    <t>Nov 08, 2025</t>
  </si>
  <si>
    <t>816 Potomac Avenue SE Unit 203, Washington, DC 20003</t>
  </si>
  <si>
    <t>Jan 09, 2026</t>
  </si>
  <si>
    <t>816 Potomac Avenue SE Unit 302, Washington, DC 20003</t>
  </si>
  <si>
    <t>816 Potomac Avenue SE Unit 303, Washington, DC 20003</t>
  </si>
  <si>
    <t>816 Potomac Avenue SE Unit Townhouse, Washington, DC 20003</t>
  </si>
  <si>
    <t>Sep 14, 2025</t>
  </si>
  <si>
    <t>Sep 09, 2025</t>
  </si>
  <si>
    <t>811 4th Street NW Unit 421, Washington, DC 20001</t>
  </si>
  <si>
    <t>Delphine</t>
  </si>
  <si>
    <t>Apr 17, 2025</t>
  </si>
  <si>
    <t>Apr 15, 2025</t>
  </si>
  <si>
    <t>800 G Street NE Unit House, Washington, DC 20002</t>
  </si>
  <si>
    <t>Mary</t>
  </si>
  <si>
    <t>Feb 08, 2025</t>
  </si>
  <si>
    <t>Jul 20, 2025</t>
  </si>
  <si>
    <t>May 16, 2025</t>
  </si>
  <si>
    <t>Aug 18, 2025</t>
  </si>
  <si>
    <t>Sep 20, 2025</t>
  </si>
  <si>
    <t>Jul 25, 2025</t>
  </si>
  <si>
    <t>Nov 24, 2025</t>
  </si>
  <si>
    <t>Apr 28, 2026</t>
  </si>
  <si>
    <t>Jun 28, 2026</t>
  </si>
  <si>
    <t>800 G Street NE Unit B, Washington, DC 20002</t>
  </si>
  <si>
    <t>Jan 04, 2026</t>
  </si>
  <si>
    <t>Jan 12, 2025</t>
  </si>
  <si>
    <t>Feb 01, 2026</t>
  </si>
  <si>
    <t>Feb 02, 2026</t>
  </si>
  <si>
    <t>Apr 22, 2025</t>
  </si>
  <si>
    <t>Apr 11, 2026</t>
  </si>
  <si>
    <t>Jun 27, 2026</t>
  </si>
  <si>
    <t>Mar 19, 2026</t>
  </si>
  <si>
    <t>800 East Capitol NE Unit 1, Washington, DC 20003</t>
  </si>
  <si>
    <t>Karen</t>
  </si>
  <si>
    <t>Jun 14, 2025</t>
  </si>
  <si>
    <t>May 22, 2025</t>
  </si>
  <si>
    <t>Jun 29, 2025</t>
  </si>
  <si>
    <t>Aug 09, 2025</t>
  </si>
  <si>
    <t>May 30, 2025</t>
  </si>
  <si>
    <t>Aug 11, 2025</t>
  </si>
  <si>
    <t>Nov 10, 2025</t>
  </si>
  <si>
    <t>Aug 07, 2025</t>
  </si>
  <si>
    <t>Nov 13, 2025</t>
  </si>
  <si>
    <t>Dec 01, 2025</t>
  </si>
  <si>
    <t>Apr 23, 2026</t>
  </si>
  <si>
    <t>Mar 02, 2026</t>
  </si>
  <si>
    <t>May 01, 2026</t>
  </si>
  <si>
    <t>Aug 28, 2026</t>
  </si>
  <si>
    <t>Apr 06, 2026</t>
  </si>
  <si>
    <t>800 East Capitol Street NE Unit House, Washington, DC 20003</t>
  </si>
  <si>
    <t>Dec 03, 2023</t>
  </si>
  <si>
    <t>Jun 30, 2027</t>
  </si>
  <si>
    <t>Nov 17, 2023</t>
  </si>
  <si>
    <t>777 7th Street NW Unit 1117, Washington, DC 20001</t>
  </si>
  <si>
    <t>Richard</t>
  </si>
  <si>
    <t>Aug 30, 2025</t>
  </si>
  <si>
    <t>Aug 30, 2027</t>
  </si>
  <si>
    <t>Aug 14, 2025</t>
  </si>
  <si>
    <t>731 20th Street South Unit 1, Arlington, VA 22202</t>
  </si>
  <si>
    <t>Allen</t>
  </si>
  <si>
    <t>Jan 26, 2025</t>
  </si>
  <si>
    <t>Sep 24, 2025</t>
  </si>
  <si>
    <t>May 13, 2025</t>
  </si>
  <si>
    <t>725 5th Street SE Unit 23, Washington, DC 20003</t>
  </si>
  <si>
    <t>Justin</t>
  </si>
  <si>
    <t>Jul 30, 2025</t>
  </si>
  <si>
    <t>Jan 31, 2026</t>
  </si>
  <si>
    <t>Jul 24, 2026</t>
  </si>
  <si>
    <t>May 21, 2026</t>
  </si>
  <si>
    <t>723 5th Street NE Unit House, Washington, DC 20002</t>
  </si>
  <si>
    <t>Linda</t>
  </si>
  <si>
    <t>Jun 26, 2025</t>
  </si>
  <si>
    <t>Jul 13, 2025</t>
  </si>
  <si>
    <t>Sep 11, 2025</t>
  </si>
  <si>
    <t>Aug 15, 2025</t>
  </si>
  <si>
    <t>May 10, 2026</t>
  </si>
  <si>
    <t>Jun 09, 2026</t>
  </si>
  <si>
    <t>May 08, 2026</t>
  </si>
  <si>
    <t>Jun 11, 2026</t>
  </si>
  <si>
    <t>Jul 11, 2026</t>
  </si>
  <si>
    <t>Jul 13, 2026</t>
  </si>
  <si>
    <t>Aug 14, 2026</t>
  </si>
  <si>
    <t>May 20, 2026</t>
  </si>
  <si>
    <t>723 5th Street NE Unit Basement, Washington, DC 20002</t>
  </si>
  <si>
    <t>Apr 26, 2026</t>
  </si>
  <si>
    <t>Jul 01, 2026</t>
  </si>
  <si>
    <t>Jul 04, 2026</t>
  </si>
  <si>
    <t>Aug 05, 2026</t>
  </si>
  <si>
    <t>7229 16th Street NW Unit 1, Washington, DC 20012</t>
  </si>
  <si>
    <t>Jim</t>
  </si>
  <si>
    <t>Jul 19, 2025</t>
  </si>
  <si>
    <t>Nov 30, 2026</t>
  </si>
  <si>
    <t>Jul 07, 2025</t>
  </si>
  <si>
    <t>717 F Street NE Unit 1, Washington, DC 20002</t>
  </si>
  <si>
    <t>James</t>
  </si>
  <si>
    <t>Jun 08, 2025</t>
  </si>
  <si>
    <t>May 28, 2025</t>
  </si>
  <si>
    <t>Sep 04, 2025</t>
  </si>
  <si>
    <t>Oct 25, 2025</t>
  </si>
  <si>
    <t>Jul 11, 2025</t>
  </si>
  <si>
    <t>Jun 30, 2026</t>
  </si>
  <si>
    <t>Jan 12, 2026</t>
  </si>
  <si>
    <t>716 25th Street S Unit House, Arlington, VA 22202</t>
  </si>
  <si>
    <t>Jonathan</t>
  </si>
  <si>
    <t>Sep 07, 2025</t>
  </si>
  <si>
    <t>Nov 23, 2025</t>
  </si>
  <si>
    <t>Nov 29, 2025</t>
  </si>
  <si>
    <t>Feb 12, 2026</t>
  </si>
  <si>
    <t>Jan 30, 2026</t>
  </si>
  <si>
    <t>713 North Carolina Ave SE Unit House, Washington, DC 20002</t>
  </si>
  <si>
    <t>Paula</t>
  </si>
  <si>
    <t>May 15, 2025</t>
  </si>
  <si>
    <t>Sep 12, 2025</t>
  </si>
  <si>
    <t>Oct 07, 2025</t>
  </si>
  <si>
    <t>Apr 25, 2026</t>
  </si>
  <si>
    <t>Jul 19, 2026</t>
  </si>
  <si>
    <t>Apr 02, 2026</t>
  </si>
  <si>
    <t>Aug 03, 2026</t>
  </si>
  <si>
    <t>Nov 15, 2026</t>
  </si>
  <si>
    <t>Jun 04, 2026</t>
  </si>
  <si>
    <t>713 Florida Avenue NE Unit House, Washington, DC 20002</t>
  </si>
  <si>
    <t>David</t>
  </si>
  <si>
    <t>Apr 20, 2025</t>
  </si>
  <si>
    <t>Apr 05, 2026</t>
  </si>
  <si>
    <t>Apr 09, 2025</t>
  </si>
  <si>
    <t>Aug 09, 2026</t>
  </si>
  <si>
    <t>May 06, 2026</t>
  </si>
  <si>
    <t>712 G Street SE Unit 204, Washington, DC 20003</t>
  </si>
  <si>
    <t>Jun 20, 2025</t>
  </si>
  <si>
    <t>Jul 31, 2025</t>
  </si>
  <si>
    <t>May 17, 2025</t>
  </si>
  <si>
    <t>Aug 10, 2025</t>
  </si>
  <si>
    <t>Jun 06, 2025</t>
  </si>
  <si>
    <t>Aug 17, 2025</t>
  </si>
  <si>
    <t>Aug 21, 2025</t>
  </si>
  <si>
    <t>Aug 04, 2025</t>
  </si>
  <si>
    <t>Aug 06, 2025</t>
  </si>
  <si>
    <t>Aug 13, 2025</t>
  </si>
  <si>
    <t>Jul 02, 2025</t>
  </si>
  <si>
    <t>Aug 22, 2025</t>
  </si>
  <si>
    <t>Aug 03, 2025</t>
  </si>
  <si>
    <t>Jul 21, 2025</t>
  </si>
  <si>
    <t>Sep 02, 2025</t>
  </si>
  <si>
    <t>Jul 27, 2025</t>
  </si>
  <si>
    <t>712 G Street SE Unit 202, Washington, DC 20003</t>
  </si>
  <si>
    <t>Jul 12, 2025</t>
  </si>
  <si>
    <t>May 20, 2025</t>
  </si>
  <si>
    <t>Jun 22, 2025</t>
  </si>
  <si>
    <t>Jul 03, 2025</t>
  </si>
  <si>
    <t>Jun 12, 2025</t>
  </si>
  <si>
    <t>Aug 28, 2025</t>
  </si>
  <si>
    <t>712 G Street SE Unit 201, Washington, DC 20003</t>
  </si>
  <si>
    <t>Mar 19, 2025</t>
  </si>
  <si>
    <t>Mar 05, 2025</t>
  </si>
  <si>
    <t>70 N Street SE Unit 1108, Washington, DC 20003</t>
  </si>
  <si>
    <t>Paul</t>
  </si>
  <si>
    <t>Aug 26, 2024</t>
  </si>
  <si>
    <t>Aug 14, 2024</t>
  </si>
  <si>
    <t>Jan 03, 2026</t>
  </si>
  <si>
    <t>Jul 10, 2026</t>
  </si>
  <si>
    <t>Jul 27, 2026</t>
  </si>
  <si>
    <t>Jun 11, 2027</t>
  </si>
  <si>
    <t>6900 Chelsea Road Unit 1, McLean, VA 22101</t>
  </si>
  <si>
    <t>Jon /Sonja</t>
  </si>
  <si>
    <t>Oct 15, 2023</t>
  </si>
  <si>
    <t>Sep 15, 2023</t>
  </si>
  <si>
    <t>6803 Cameron Drive PH06 NW Unit PH06, Washington, DC 20012</t>
  </si>
  <si>
    <t>Louise</t>
  </si>
  <si>
    <t>Oct 02, 2024</t>
  </si>
  <si>
    <t>Sep 27, 2024</t>
  </si>
  <si>
    <t>Aug 20, 2025</t>
  </si>
  <si>
    <t>620 C Street SE Unit B, Washington, DC 20003</t>
  </si>
  <si>
    <t>Patrick</t>
  </si>
  <si>
    <t>Feb 02, 2023</t>
  </si>
  <si>
    <t>Jan 23, 2023</t>
  </si>
  <si>
    <t>Feb 03, 2026</t>
  </si>
  <si>
    <t>Jun 15, 2027</t>
  </si>
  <si>
    <t>616 4th Pl SW Unit 1, Washington, DC 20024</t>
  </si>
  <si>
    <t>Asma</t>
  </si>
  <si>
    <t>Aug 17, 2024</t>
  </si>
  <si>
    <t>Sep 01, 2025</t>
  </si>
  <si>
    <t>Aug 16, 2024</t>
  </si>
  <si>
    <t>Sep 02, 2026</t>
  </si>
  <si>
    <t>615 G Street SW Unit House, Washington, DC 20024</t>
  </si>
  <si>
    <t>Megan</t>
  </si>
  <si>
    <t>May 23, 2025</t>
  </si>
  <si>
    <t>Apr 11, 2025</t>
  </si>
  <si>
    <t>Jan 16, 2027</t>
  </si>
  <si>
    <t>Dec 15, 2025</t>
  </si>
  <si>
    <t>615 D Street SE Unit 5B, Washington, DC 20003</t>
  </si>
  <si>
    <t>Emily</t>
  </si>
  <si>
    <t>Apr 21, 2025</t>
  </si>
  <si>
    <t>Jul 08, 2025</t>
  </si>
  <si>
    <t>Jul 15, 2025</t>
  </si>
  <si>
    <t>Jul 03, 2026</t>
  </si>
  <si>
    <t>Jul 05, 2026</t>
  </si>
  <si>
    <t>Dec 18, 2026</t>
  </si>
  <si>
    <t>May 25, 2026</t>
  </si>
  <si>
    <t>601 Wharf Street SW Unit 301, Washington, DC 20024</t>
  </si>
  <si>
    <t>Karina</t>
  </si>
  <si>
    <t>Nov 01, 2024</t>
  </si>
  <si>
    <t>Oct 08, 2024</t>
  </si>
  <si>
    <t>601 Pennsylvania Avenue NW Unit 1110, Washington, DC 20004</t>
  </si>
  <si>
    <t>Chee-Heng and Lanneth</t>
  </si>
  <si>
    <t>Jul 05, 2025</t>
  </si>
  <si>
    <t>601 Pennsylvania Ave. NW Unit 704, Washington, DC 20004</t>
  </si>
  <si>
    <t>Andy</t>
  </si>
  <si>
    <t>Apr 16, 2025</t>
  </si>
  <si>
    <t>6000 2nd Street Unit 1, Arlington, VA 22203</t>
  </si>
  <si>
    <t>Aug 24, 2024</t>
  </si>
  <si>
    <t>5718 27th Street NW Unit 1, Washington, DC 20015</t>
  </si>
  <si>
    <t>Charlie</t>
  </si>
  <si>
    <t>566 N Saint Asaph St Unit House, Alexandria, VA 22314</t>
  </si>
  <si>
    <t>Maresa</t>
  </si>
  <si>
    <t>Jul 16, 2025</t>
  </si>
  <si>
    <t>Sep 30, 2026</t>
  </si>
  <si>
    <t>Jun 02, 2025</t>
  </si>
  <si>
    <t>5425 Sherier Place NW Unit House, Washington, DC 20016</t>
  </si>
  <si>
    <t>Stefano</t>
  </si>
  <si>
    <t>Jun 26, 2022</t>
  </si>
  <si>
    <t>May 13, 2022</t>
  </si>
  <si>
    <t>526 5th Street SE Unit 303, Washington, DC 20003</t>
  </si>
  <si>
    <t>Apr 12, 2025</t>
  </si>
  <si>
    <t>Jun 24, 2025</t>
  </si>
  <si>
    <t>Mar 14, 2025</t>
  </si>
  <si>
    <t>Jun 11, 2025</t>
  </si>
  <si>
    <t>Jun 25, 2025</t>
  </si>
  <si>
    <t>Jun 27, 2025</t>
  </si>
  <si>
    <t>Jul 06, 2025</t>
  </si>
  <si>
    <t>Jun 17, 2025</t>
  </si>
  <si>
    <t>Jun 28, 2025</t>
  </si>
  <si>
    <t>Jul 10, 2025</t>
  </si>
  <si>
    <t>Jul 18, 2025</t>
  </si>
  <si>
    <t>Jul 17, 2025</t>
  </si>
  <si>
    <t>526 5th Street SE Unit 302, Washington, DC 20003</t>
  </si>
  <si>
    <t>May 09, 2025</t>
  </si>
  <si>
    <t>526 5th Street SE Unit 301, Washington, DC 20003</t>
  </si>
  <si>
    <t>May 08, 2025</t>
  </si>
  <si>
    <t>Jul 24, 2025</t>
  </si>
  <si>
    <t>526 5th Street SE Unit 203, Washington, DC 20003</t>
  </si>
  <si>
    <t>Feb 11, 2025</t>
  </si>
  <si>
    <t>526 5th Street SE Unit 202, Washington, DC 20003</t>
  </si>
  <si>
    <t>May 10, 2025</t>
  </si>
  <si>
    <t>May 21, 2025</t>
  </si>
  <si>
    <t>Sep 03, 2025</t>
  </si>
  <si>
    <t>526 5th Street SE Unit 201, Washington, DC 20003</t>
  </si>
  <si>
    <t>Jul 29, 2025</t>
  </si>
  <si>
    <t>Jun 04, 2025</t>
  </si>
  <si>
    <t>Aug 08, 2025</t>
  </si>
  <si>
    <t>Aug 24, 2025</t>
  </si>
  <si>
    <t>Nov 03, 2025</t>
  </si>
  <si>
    <t>526 5th Street SE Unit 104, Washington, DC 20003</t>
  </si>
  <si>
    <t>526 5th Street SE Unit 102, Washington, DC 20003</t>
  </si>
  <si>
    <t>May 03, 2025</t>
  </si>
  <si>
    <t>Jul 09, 2025</t>
  </si>
  <si>
    <t>Jul 23, 2025</t>
  </si>
  <si>
    <t>526 5th Street SE Unit 101, Washington, DC 20003</t>
  </si>
  <si>
    <t>Jun 03, 2025</t>
  </si>
  <si>
    <t>5232 Macomb Street NW Unit 1, Washington, DC 20016</t>
  </si>
  <si>
    <t>Nesrin</t>
  </si>
  <si>
    <t>Feb 28, 2024</t>
  </si>
  <si>
    <t>Jan 29, 2024</t>
  </si>
  <si>
    <t>522 21st Street NW Unit 901, Washington, DC 20006</t>
  </si>
  <si>
    <t>Rhona</t>
  </si>
  <si>
    <t>Jan 06, 2025</t>
  </si>
  <si>
    <t>Dec 10, 2024</t>
  </si>
  <si>
    <t>Mar 28, 2026</t>
  </si>
  <si>
    <t>Oct 31, 2026</t>
  </si>
  <si>
    <t>Feb 23, 2026</t>
  </si>
  <si>
    <t>510 Hammonds Court Unit House, Alexandria, VA 22314</t>
  </si>
  <si>
    <t>Avril</t>
  </si>
  <si>
    <t>Sep 19, 2025</t>
  </si>
  <si>
    <t>Nov 02, 2025</t>
  </si>
  <si>
    <t>Sep 18, 2025</t>
  </si>
  <si>
    <t>Nov 15, 2025</t>
  </si>
  <si>
    <t>Nov 11, 2025</t>
  </si>
  <si>
    <t>5049 Garfield Street NW Unit House, Washington, DC 20016</t>
  </si>
  <si>
    <t>Abir</t>
  </si>
  <si>
    <t>Jul 14, 2026</t>
  </si>
  <si>
    <t>Sep 29, 2025</t>
  </si>
  <si>
    <t>50 Florida Avenue NE Unit 921, Washington, DC 20002</t>
  </si>
  <si>
    <t>Ellen and Peter</t>
  </si>
  <si>
    <t>Oct 09, 2025</t>
  </si>
  <si>
    <t>Feb 14, 2026</t>
  </si>
  <si>
    <t>Feb 16, 2027</t>
  </si>
  <si>
    <t>Jan 19, 2026</t>
  </si>
  <si>
    <t>4801 Fairmont Avenue Unit 311, Bethesda, MD 20814</t>
  </si>
  <si>
    <t>Apr 01, 2024</t>
  </si>
  <si>
    <t>Mar 06, 2024</t>
  </si>
  <si>
    <t>Oct 02, 2025</t>
  </si>
  <si>
    <t>Jul 08, 2026</t>
  </si>
  <si>
    <t>Oct 17, 2025</t>
  </si>
  <si>
    <t>475 K Street NW Unit 1111, Washington, DC 20001</t>
  </si>
  <si>
    <t>Dana</t>
  </si>
  <si>
    <t>Mar 29, 2026</t>
  </si>
  <si>
    <t>Mar 31, 2026</t>
  </si>
  <si>
    <t>Feb 20, 2026</t>
  </si>
  <si>
    <t>Apr 25, 2027</t>
  </si>
  <si>
    <t>Apr 17, 2026</t>
  </si>
  <si>
    <t>4720 Sedgwick Street NW Unit 1, Washington, DC 20016</t>
  </si>
  <si>
    <t>Kyle</t>
  </si>
  <si>
    <t>Jan 01, 2024</t>
  </si>
  <si>
    <t>Nov 19, 2023</t>
  </si>
  <si>
    <t>4545 MacArthur NW Unit 107, Washington, DC 20007</t>
  </si>
  <si>
    <t>Ana</t>
  </si>
  <si>
    <t>Apr 09, 2026</t>
  </si>
  <si>
    <t>Aug 30, 2026</t>
  </si>
  <si>
    <t>4464 Greenwich Pkwy NW Unit House, Washington, DC 20007</t>
  </si>
  <si>
    <t>Aya</t>
  </si>
  <si>
    <t>May 07, 2025</t>
  </si>
  <si>
    <t>May 25, 2025</t>
  </si>
  <si>
    <t>Feb 15, 2026</t>
  </si>
  <si>
    <t>Oct 28, 2025</t>
  </si>
  <si>
    <t>Mar 10, 2026</t>
  </si>
  <si>
    <t>Mar 09, 2026</t>
  </si>
  <si>
    <t>445 15th Street SE Unit House, Washington, DC 20003</t>
  </si>
  <si>
    <t>Deborah Van</t>
  </si>
  <si>
    <t>Mar 27, 2026</t>
  </si>
  <si>
    <t>Apr 13, 2026</t>
  </si>
  <si>
    <t>Apr 15, 2026</t>
  </si>
  <si>
    <t>May 04, 2026</t>
  </si>
  <si>
    <t>Jun 25, 2026</t>
  </si>
  <si>
    <t>440 M Street NW Unit 4, Washington, DC 20001</t>
  </si>
  <si>
    <t>Beth</t>
  </si>
  <si>
    <t>Apr 25, 2025</t>
  </si>
  <si>
    <t>Feb 28, 2026</t>
  </si>
  <si>
    <t>Jul 20, 2026</t>
  </si>
  <si>
    <t>May 26, 2027</t>
  </si>
  <si>
    <t>Apr 07, 2026</t>
  </si>
  <si>
    <t>437 New York Ave NW Unit 1210, Washington, DC 20001</t>
  </si>
  <si>
    <t>Sara</t>
  </si>
  <si>
    <t>Jan 09, 2025</t>
  </si>
  <si>
    <t>May 30, 2026</t>
  </si>
  <si>
    <t>May 22, 2026</t>
  </si>
  <si>
    <t>418 D Street SE Unit B, Washington, DC 20003</t>
  </si>
  <si>
    <t>Ted</t>
  </si>
  <si>
    <t>Mar 23, 2025</t>
  </si>
  <si>
    <t>Feb 10, 2025</t>
  </si>
  <si>
    <t>Oct 29, 2025</t>
  </si>
  <si>
    <t>May 12, 2025</t>
  </si>
  <si>
    <t>Feb 27, 2026</t>
  </si>
  <si>
    <t>Apr 16, 2026</t>
  </si>
  <si>
    <t>418 D Street SE Unit A, Washington, DC 20003</t>
  </si>
  <si>
    <t>Jul 22, 2025</t>
  </si>
  <si>
    <t>May 16, 2026</t>
  </si>
  <si>
    <t>Jul 17, 2026</t>
  </si>
  <si>
    <t>Mar 24, 2026</t>
  </si>
  <si>
    <t>Aug 04, 2026</t>
  </si>
  <si>
    <t>Aug 02, 2027</t>
  </si>
  <si>
    <t>4039 8th Street S Unit House, Arlington, VA 22204</t>
  </si>
  <si>
    <t>Sam</t>
  </si>
  <si>
    <t>Aug 29, 2025</t>
  </si>
  <si>
    <t>Jul 28, 2026</t>
  </si>
  <si>
    <t>395 N Street SW Unit House, Washington, DC 20024</t>
  </si>
  <si>
    <t>John</t>
  </si>
  <si>
    <t>Feb 03, 2024</t>
  </si>
  <si>
    <t>Aug 19, 2027</t>
  </si>
  <si>
    <t>Jan 17, 2024</t>
  </si>
  <si>
    <t>3901 Cathedral Avenue NW Unit 209, Washington, DC 20016</t>
  </si>
  <si>
    <t>Renee</t>
  </si>
  <si>
    <t>3423 Reservoir Road NW Unit 1, Washington, DC 20007</t>
  </si>
  <si>
    <t>Robert</t>
  </si>
  <si>
    <t>3414 Reservoir Road NW Unit House, Washington, DC 20007</t>
  </si>
  <si>
    <t>Rose</t>
  </si>
  <si>
    <t>Sep 16, 2025</t>
  </si>
  <si>
    <t>Jun 13, 2026</t>
  </si>
  <si>
    <t>Jul 25, 2026</t>
  </si>
  <si>
    <t>3333 Q ST NW Unit House, Washington, DC 20007</t>
  </si>
  <si>
    <t>Kellee</t>
  </si>
  <si>
    <t>May 24, 2026</t>
  </si>
  <si>
    <t>Jun 26, 2026</t>
  </si>
  <si>
    <t>3329 Q Street NW Unit House, Washington, DC 20007</t>
  </si>
  <si>
    <t>Aug 13, 2026</t>
  </si>
  <si>
    <t>3222 Cherry Hill Lane NW Unit B3, Washington, DC 20007</t>
  </si>
  <si>
    <t>Juan</t>
  </si>
  <si>
    <t>Jul 31, 2024</t>
  </si>
  <si>
    <t>Jun 21, 2024</t>
  </si>
  <si>
    <t>3222 Cherry Hill Lane NW Unit D2, Washington, DC 20007</t>
  </si>
  <si>
    <t>Jun 16, 2025</t>
  </si>
  <si>
    <t>Jan 01, 2026</t>
  </si>
  <si>
    <t>Mar 04, 2026</t>
  </si>
  <si>
    <t>Jul 02, 2026</t>
  </si>
  <si>
    <t>May 19, 2026</t>
  </si>
  <si>
    <t>3222 Cherry Hill Lane NW Unit C2, Washington, DC 20007</t>
  </si>
  <si>
    <t>Sep 15, 2025</t>
  </si>
  <si>
    <t>Nov 14, 2025</t>
  </si>
  <si>
    <t>Mar 22, 2026</t>
  </si>
  <si>
    <t>Mar 25, 2026</t>
  </si>
  <si>
    <t>May 03, 2026</t>
  </si>
  <si>
    <t>3205 Cherry Hill Lane NW Unit House, Washington, DC 20007</t>
  </si>
  <si>
    <t>Elizabeth</t>
  </si>
  <si>
    <t>Sep 01, 2024</t>
  </si>
  <si>
    <t>Jul 09, 2024</t>
  </si>
  <si>
    <t>Dec 16, 2025</t>
  </si>
  <si>
    <t>Apr 08, 2026</t>
  </si>
  <si>
    <t>May 13, 2026</t>
  </si>
  <si>
    <t>Jun 19, 2026</t>
  </si>
  <si>
    <t>Sep 10, 2026</t>
  </si>
  <si>
    <t>Jun 02, 2026</t>
  </si>
  <si>
    <t>3203 Leland Street Unit House, Chevy Chase, MD 20815</t>
  </si>
  <si>
    <t>Andrew</t>
  </si>
  <si>
    <t>Sep 05, 2025</t>
  </si>
  <si>
    <t>Jul 30, 2026</t>
  </si>
  <si>
    <t>318 7th Street NE Unit House, Washington, DC 20002</t>
  </si>
  <si>
    <t>Echol</t>
  </si>
  <si>
    <t>Mar 29, 2025</t>
  </si>
  <si>
    <t>Sep 26, 2025</t>
  </si>
  <si>
    <t>May 17, 2026</t>
  </si>
  <si>
    <t>Aug 16, 2026</t>
  </si>
  <si>
    <t>Mar 13, 2026</t>
  </si>
  <si>
    <t>3162 17th Street NW Unit 1, Washington, DC 20010</t>
  </si>
  <si>
    <t>Victor</t>
  </si>
  <si>
    <t>316 3rd Street NE Unit House, Washington, DC 20002</t>
  </si>
  <si>
    <t>Kathleen</t>
  </si>
  <si>
    <t>Jun 07, 2025</t>
  </si>
  <si>
    <t>Mar 12, 2026</t>
  </si>
  <si>
    <t>3143 N Street NW Unit 1, Washington, DC 20007</t>
  </si>
  <si>
    <t>Apr 18, 2025</t>
  </si>
  <si>
    <t>Oct 20, 2025</t>
  </si>
  <si>
    <t>Oct 30, 2025</t>
  </si>
  <si>
    <t>May 07, 2026</t>
  </si>
  <si>
    <t>3143 N Street NW Unit 2, Washington, DC 20007</t>
  </si>
  <si>
    <t>Oct 13, 2025</t>
  </si>
  <si>
    <t>Nov 12, 2025</t>
  </si>
  <si>
    <t>Oct 22, 2025</t>
  </si>
  <si>
    <t>3143 N Street NW Unit 4, Washington, DC 20007</t>
  </si>
  <si>
    <t>Sep 12, 2026</t>
  </si>
  <si>
    <t>314 A Street NE Unit 1, Washington, DC 20002</t>
  </si>
  <si>
    <t>Mark</t>
  </si>
  <si>
    <t>Dec 20, 2025</t>
  </si>
  <si>
    <t>Jun 01, 2026</t>
  </si>
  <si>
    <t>Nov 20, 2025</t>
  </si>
  <si>
    <t>Jun 03, 2026</t>
  </si>
  <si>
    <t>3 Washington Circle NW Unit 806, Washington, DC 20037</t>
  </si>
  <si>
    <t>Hiwa</t>
  </si>
  <si>
    <t>Jul 11, 2021</t>
  </si>
  <si>
    <t>Jul 02, 2021</t>
  </si>
  <si>
    <t>2957 Newark Street NW Unit B, Washington, DC 20008</t>
  </si>
  <si>
    <t>Lalit</t>
  </si>
  <si>
    <t>May 26, 2026</t>
  </si>
  <si>
    <t>2834 28th Street NW Unit Guest House, Washington, DC 20008</t>
  </si>
  <si>
    <t>Apr 13, 2025</t>
  </si>
  <si>
    <t>Oct 05, 2025</t>
  </si>
  <si>
    <t>Feb 22, 2026</t>
  </si>
  <si>
    <t>Sep 23, 2025</t>
  </si>
  <si>
    <t>Jul 07, 2026</t>
  </si>
  <si>
    <t>Apr 01, 2026</t>
  </si>
  <si>
    <t>Jul 09, 2026</t>
  </si>
  <si>
    <t>2812 29th Place NW Unit B, Washington, DC 20008</t>
  </si>
  <si>
    <t>May 19, 2025</t>
  </si>
  <si>
    <t>Oct 03, 2025</t>
  </si>
  <si>
    <t>Aug 21, 2026</t>
  </si>
  <si>
    <t>Dec 14, 2026</t>
  </si>
  <si>
    <t>2800 Olive Street NW Unit 4, Washington, DC 20007</t>
  </si>
  <si>
    <t>Lisa</t>
  </si>
  <si>
    <t>Mar 15, 2025</t>
  </si>
  <si>
    <t>Feb 06, 2025</t>
  </si>
  <si>
    <t>Dec 04, 2025</t>
  </si>
  <si>
    <t>2800 Olive Street NW Unit 2, Washington, DC 20007</t>
  </si>
  <si>
    <t>Mar 30, 2025</t>
  </si>
  <si>
    <t>Oct 19, 2025</t>
  </si>
  <si>
    <t>Jun 07, 2026</t>
  </si>
  <si>
    <t>Aug 07, 2026</t>
  </si>
  <si>
    <t>Aug 12, 2026</t>
  </si>
  <si>
    <t>Nov 11, 2026</t>
  </si>
  <si>
    <t>2755 Ordway Street NW Unit 313, Washington, DC 20008</t>
  </si>
  <si>
    <t>Elisabeth</t>
  </si>
  <si>
    <t>Feb 24, 2025</t>
  </si>
  <si>
    <t>Jan 20, 2025</t>
  </si>
  <si>
    <t>2650 Woodley Road NW Unit 0231, Washington, DC 20008</t>
  </si>
  <si>
    <t>Mar 29, 2027</t>
  </si>
  <si>
    <t>2630 39th Street NW Unit 3, Washington, DC 20007</t>
  </si>
  <si>
    <t>Heiko</t>
  </si>
  <si>
    <t>Nov 07, 2025</t>
  </si>
  <si>
    <t>Aug 22, 2026</t>
  </si>
  <si>
    <t>Feb 16, 2026</t>
  </si>
  <si>
    <t>2611 Adams Mill Road NW Unit 305, Washington, DC 20009</t>
  </si>
  <si>
    <t>Aug 05, 2024</t>
  </si>
  <si>
    <t>May 30, 2024</t>
  </si>
  <si>
    <t>Feb 26, 2026</t>
  </si>
  <si>
    <t>Feb 28, 2027</t>
  </si>
  <si>
    <t>Feb 10, 2026</t>
  </si>
  <si>
    <t>2516 Q Street NW Unit 304, Washington, DC 20007</t>
  </si>
  <si>
    <t>Lindsay</t>
  </si>
  <si>
    <t>Dec 19, 2025</t>
  </si>
  <si>
    <t>2501 K Street NW Unit 5B, Washington, DC 20037</t>
  </si>
  <si>
    <t>Joshua</t>
  </si>
  <si>
    <t>Apr 07, 2025</t>
  </si>
  <si>
    <t>Nov 09, 2025</t>
  </si>
  <si>
    <t>May 05, 2026</t>
  </si>
  <si>
    <t>2466 Ontario Road NW Unit 5, Washington, DC 20009</t>
  </si>
  <si>
    <t>Sana</t>
  </si>
  <si>
    <t>May 02, 2025</t>
  </si>
  <si>
    <t>Jun 05, 2025</t>
  </si>
  <si>
    <t>Nov 01, 2025</t>
  </si>
  <si>
    <t>Oct 10, 2025</t>
  </si>
  <si>
    <t>Mar 03, 2026</t>
  </si>
  <si>
    <t>Mar 14, 2026</t>
  </si>
  <si>
    <t>Jul 06, 2026</t>
  </si>
  <si>
    <t>2439 18th Street NW Unit 3, Washington DC, DC 20009</t>
  </si>
  <si>
    <t>Avi</t>
  </si>
  <si>
    <t>2439 18th Street NW Unit 4, Washington DC, DC 20009</t>
  </si>
  <si>
    <t>Jun 19, 2025</t>
  </si>
  <si>
    <t>2434 20th Street NW Unit B, Washington, DC 20009</t>
  </si>
  <si>
    <t>Dec 12, 2024</t>
  </si>
  <si>
    <t>2428 17th Street NW Unit 3N, Washington, DC 20009</t>
  </si>
  <si>
    <t>Tyler</t>
  </si>
  <si>
    <t>Sep 28, 2026</t>
  </si>
  <si>
    <t>2405 Eye Street NW Unit 8C, Washington, DC 20037</t>
  </si>
  <si>
    <t>Venky</t>
  </si>
  <si>
    <t>Aug 11, 2024</t>
  </si>
  <si>
    <t>Jul 02, 2024</t>
  </si>
  <si>
    <t>Dec 03, 2025</t>
  </si>
  <si>
    <t>Mar 06, 2026</t>
  </si>
  <si>
    <t>24 3rd Street NE Unit House, Washington, DC 20002</t>
  </si>
  <si>
    <t>Ron</t>
  </si>
  <si>
    <t>Nov 11, 2024</t>
  </si>
  <si>
    <t>Oct 11, 2025</t>
  </si>
  <si>
    <t>Oct 10, 2024</t>
  </si>
  <si>
    <t>Oct 15, 2025</t>
  </si>
  <si>
    <t>Nov 18, 2025</t>
  </si>
  <si>
    <t>May 23, 2026</t>
  </si>
  <si>
    <t>Aug 08, 2026</t>
  </si>
  <si>
    <t>Apr 03, 2026</t>
  </si>
  <si>
    <t>2301 Ontario Road NW Unit 102, Washington, DC 20009</t>
  </si>
  <si>
    <t>Manpreet</t>
  </si>
  <si>
    <t>Mar 26, 2024</t>
  </si>
  <si>
    <t>Mar 25, 2024</t>
  </si>
  <si>
    <t>225 C Street NE Unit 63, Washington, DC 20002</t>
  </si>
  <si>
    <t>Cynthia</t>
  </si>
  <si>
    <t>Feb 26, 2025</t>
  </si>
  <si>
    <t>Dec 30, 2025</t>
  </si>
  <si>
    <t>Oct 01, 2026</t>
  </si>
  <si>
    <t>224 North George Mason Drive Unit 2, Arlington, VA 22203</t>
  </si>
  <si>
    <t>Derya</t>
  </si>
  <si>
    <t>224 E Street NE Unit House, Washington, DC 20002</t>
  </si>
  <si>
    <t>Heidi</t>
  </si>
  <si>
    <t>Dec 16, 2024</t>
  </si>
  <si>
    <t>Nov 12, 2024</t>
  </si>
  <si>
    <t>Nov 05, 2025</t>
  </si>
  <si>
    <t>Jun 15, 2026</t>
  </si>
  <si>
    <t>Jun 17, 2026</t>
  </si>
  <si>
    <t>Jun 08, 2026</t>
  </si>
  <si>
    <t>2227 10th Street NW Unit House, Washington, DC 20001</t>
  </si>
  <si>
    <t>Kamila</t>
  </si>
  <si>
    <t>Feb 09, 2025</t>
  </si>
  <si>
    <t>Dec 17, 2025</t>
  </si>
  <si>
    <t>Dec 18, 2025</t>
  </si>
  <si>
    <t>Jan 22, 2026</t>
  </si>
  <si>
    <t>2216 40th Place NW Unit 4, Washington, DC 20007</t>
  </si>
  <si>
    <t>Dec 08, 2025</t>
  </si>
  <si>
    <t>221 E Street NE Unit House, Washington, DC 20002</t>
  </si>
  <si>
    <t>Dec 12, 2025</t>
  </si>
  <si>
    <t>Aug 10, 2026</t>
  </si>
  <si>
    <t>Jan 29, 2026</t>
  </si>
  <si>
    <t>221 8th St NE Unit House, Washington, DC 20002</t>
  </si>
  <si>
    <t>Lwendo</t>
  </si>
  <si>
    <t>Dec 07, 2025</t>
  </si>
  <si>
    <t>Dec 02, 2025</t>
  </si>
  <si>
    <t>Jan 18, 2026</t>
  </si>
  <si>
    <t>2205 North 20th Street Unit House, Arlington, VA 22201</t>
  </si>
  <si>
    <t>Matt</t>
  </si>
  <si>
    <t>2205 North 20th Street Unit #1, Arlington, VA 22201</t>
  </si>
  <si>
    <t>Jun 13, 2025</t>
  </si>
  <si>
    <t>22 Seaton Place NW Unit 1AB, Washington, DC 20001</t>
  </si>
  <si>
    <t>Yasmin</t>
  </si>
  <si>
    <t>216 4th Street SE Unit 2, Washington, DC 20003</t>
  </si>
  <si>
    <t>Amanda Pears</t>
  </si>
  <si>
    <t>Apr 08, 2025</t>
  </si>
  <si>
    <t>Nov 26, 2025</t>
  </si>
  <si>
    <t>2145 N St NW Unit 1, Washington, DC 20037</t>
  </si>
  <si>
    <t>Indira</t>
  </si>
  <si>
    <t>Aug 31, 2024</t>
  </si>
  <si>
    <t>Jun 07, 2024</t>
  </si>
  <si>
    <t>2145 Military Road Unit House, Arlington, VA 22207</t>
  </si>
  <si>
    <t>Steve</t>
  </si>
  <si>
    <t>2136 O Street NW Unit 2, Washington, DC 20037</t>
  </si>
  <si>
    <t>Manish</t>
  </si>
  <si>
    <t>Oct 21, 2024</t>
  </si>
  <si>
    <t>Sep 30, 2024</t>
  </si>
  <si>
    <t>2130 N Street NW Unit 304, Washington, DC 20037</t>
  </si>
  <si>
    <t>Irfana</t>
  </si>
  <si>
    <t>Feb 17, 2025</t>
  </si>
  <si>
    <t>Dec 29, 2025</t>
  </si>
  <si>
    <t>2130 N Street NW Unit 502, Washington, DC 20037</t>
  </si>
  <si>
    <t>Buke</t>
  </si>
  <si>
    <t>Sep 17, 2025</t>
  </si>
  <si>
    <t>Sep 04, 2026</t>
  </si>
  <si>
    <t>Sep 14, 2026</t>
  </si>
  <si>
    <t>Dec 11, 2026</t>
  </si>
  <si>
    <t>2130 N Street NW Unit 505, Washington, DC 20037</t>
  </si>
  <si>
    <t>Sep 13, 2025</t>
  </si>
  <si>
    <t>Jan 13, 2026</t>
  </si>
  <si>
    <t>Mar 08, 2026</t>
  </si>
  <si>
    <t>Apr 21, 2026</t>
  </si>
  <si>
    <t>Oct 07, 2026</t>
  </si>
  <si>
    <t>Apr 20, 2026</t>
  </si>
  <si>
    <t>2130 N Street NW Unit 507, Washington, DC 20037</t>
  </si>
  <si>
    <t>Alejandra</t>
  </si>
  <si>
    <t>Mar 17, 2026</t>
  </si>
  <si>
    <t>2130 N Street NW Unit 508, Washington, DC 20037</t>
  </si>
  <si>
    <t>Cristina</t>
  </si>
  <si>
    <t>Jun 09, 2025</t>
  </si>
  <si>
    <t>2130 N Street NW Unit 203, Washington, DC 20037</t>
  </si>
  <si>
    <t>Aug 12, 2024</t>
  </si>
  <si>
    <t>Aug 09, 2024</t>
  </si>
  <si>
    <t>2126 O Street NW Unit A, Washington, DC 20037</t>
  </si>
  <si>
    <t>Samuel</t>
  </si>
  <si>
    <t>Apr 24, 2025</t>
  </si>
  <si>
    <t>Feb 06, 2026</t>
  </si>
  <si>
    <t>Sep 05, 2026</t>
  </si>
  <si>
    <t>2100 Newport NW Unit 4, Washington, DC 20037</t>
  </si>
  <si>
    <t>Sylvia</t>
  </si>
  <si>
    <t>Apr 14, 2025</t>
  </si>
  <si>
    <t>Sep 25, 2025</t>
  </si>
  <si>
    <t>208 T Street NE Unit 3, Washington, DC 20002</t>
  </si>
  <si>
    <t>Peter</t>
  </si>
  <si>
    <t>Jan 13, 2025</t>
  </si>
  <si>
    <t>2033 P Street NW Unit 3, Washington, DC 20036</t>
  </si>
  <si>
    <t>2016 Tysons Ridgeline Road Unit 1, Falls Church, VA 22043</t>
  </si>
  <si>
    <t>Arun</t>
  </si>
  <si>
    <t>2004 15th Street NW Unit 2B, Washington, DC 20009</t>
  </si>
  <si>
    <t>Barrett</t>
  </si>
  <si>
    <t>May 26, 2025</t>
  </si>
  <si>
    <t>Oct 08, 2025</t>
  </si>
  <si>
    <t>Nov 16, 2025</t>
  </si>
  <si>
    <t>1965 Biltmore Street NW Unit 1, Washington, DC 20009</t>
  </si>
  <si>
    <t>Karin</t>
  </si>
  <si>
    <t>Oct 10, 2026</t>
  </si>
  <si>
    <t>1904 R Street NW Unit 5, Washington, DC 20009</t>
  </si>
  <si>
    <t>Ewan</t>
  </si>
  <si>
    <t>Sep 08, 2024</t>
  </si>
  <si>
    <t>Aug 05, 2025</t>
  </si>
  <si>
    <t>Jul 25, 2024</t>
  </si>
  <si>
    <t>Nov 20, 2026</t>
  </si>
  <si>
    <t>1901 13th Street Unit 8, Washington, DC 20009</t>
  </si>
  <si>
    <t>1901 13th Street NW Unit 5, Washington, DC 20009</t>
  </si>
  <si>
    <t>Oct 23, 2024</t>
  </si>
  <si>
    <t>1901 13th Street Unit 11, Washington, DC 20009</t>
  </si>
  <si>
    <t>1901 13th Street NW Unit 10, Washington, DC 20009</t>
  </si>
  <si>
    <t>Feb 07, 2025</t>
  </si>
  <si>
    <t>1844 Columbia Road NW Unit 203, Washington, DC 20009</t>
  </si>
  <si>
    <t>Fernando</t>
  </si>
  <si>
    <t>Apr 30, 2025</t>
  </si>
  <si>
    <t>Apr 29, 2025</t>
  </si>
  <si>
    <t>1822 15th Street NW Unit 301, Washington, DC 20009</t>
  </si>
  <si>
    <t>1822 15th Street NW Unit 306, Washington, DC 20009</t>
  </si>
  <si>
    <t>May 04, 2025</t>
  </si>
  <si>
    <t>Apr 10, 2025</t>
  </si>
  <si>
    <t>Nov 17, 2025</t>
  </si>
  <si>
    <t>Jun 20, 2026</t>
  </si>
  <si>
    <t>1822 15th Street NW Unit B1, Washington, DC 20009</t>
  </si>
  <si>
    <t>Leland</t>
  </si>
  <si>
    <t>May 14, 2026</t>
  </si>
  <si>
    <t>1809 19th Street NW Unit 1, Washington, DC 20009</t>
  </si>
  <si>
    <t>Sep 21, 2025</t>
  </si>
  <si>
    <t>Sep 28, 2025</t>
  </si>
  <si>
    <t>Oct 14, 2025</t>
  </si>
  <si>
    <t>Feb 24, 2026</t>
  </si>
  <si>
    <t>Apr 18, 2026</t>
  </si>
  <si>
    <t>1809 19th Street NW Unit 4, Washington, DC 20009</t>
  </si>
  <si>
    <t>Rosie</t>
  </si>
  <si>
    <t>1806 Vernon Street NW Unit 4, Washington, DC 20009</t>
  </si>
  <si>
    <t>Brian</t>
  </si>
  <si>
    <t>Sep 07, 2026</t>
  </si>
  <si>
    <t>1804 S Street NW Unit 1, Washington, DC 20009</t>
  </si>
  <si>
    <t>Salome &amp; Alfonso and Ines</t>
  </si>
  <si>
    <t>Feb 19, 2025</t>
  </si>
  <si>
    <t>Mar 16, 2026</t>
  </si>
  <si>
    <t>1804 S Street NW Unit 2, Washington, DC 20009</t>
  </si>
  <si>
    <t>Oct 06, 2025</t>
  </si>
  <si>
    <t>1804 S Street NW Unit 3, Washington, DC 20009</t>
  </si>
  <si>
    <t>Apr 02, 2025</t>
  </si>
  <si>
    <t>1804 S Street NW Unit 4, Washington, DC 20009</t>
  </si>
  <si>
    <t>May 29, 2025</t>
  </si>
  <si>
    <t>Sep 06, 2025</t>
  </si>
  <si>
    <t>Oct 26, 2025</t>
  </si>
  <si>
    <t>Apr 30, 2027</t>
  </si>
  <si>
    <t>1801 Swann Street NW Unit 302, Washington, DC 20009</t>
  </si>
  <si>
    <t>1801 16th NW Unit 102, Washington, DC 20009</t>
  </si>
  <si>
    <t>Demaris</t>
  </si>
  <si>
    <t>1800 R Street NW Unit C-4, Washington, DC 20009</t>
  </si>
  <si>
    <t>Jun 30, 2024</t>
  </si>
  <si>
    <t>Mar 21, 2024</t>
  </si>
  <si>
    <t>Jan 01, 2027</t>
  </si>
  <si>
    <t>1765 R Street NW Unit 302, Washington, DC 20009</t>
  </si>
  <si>
    <t>Sep 10, 2024</t>
  </si>
  <si>
    <t>Jun 16, 2024</t>
  </si>
  <si>
    <t>1765 R Street NW Unit 301, Washington, DC 20009</t>
  </si>
  <si>
    <t>May 14, 2025</t>
  </si>
  <si>
    <t>Jun 03, 2024</t>
  </si>
  <si>
    <t>1765 R Street NW Unit 202, Washington, DC 20009</t>
  </si>
  <si>
    <t>1765 R Street NW Unit 201, Washington, DC 20009</t>
  </si>
  <si>
    <t>Nov 15, 2024</t>
  </si>
  <si>
    <t>Apr 04, 2025</t>
  </si>
  <si>
    <t>May 11, 2025</t>
  </si>
  <si>
    <t>May 24, 2025</t>
  </si>
  <si>
    <t>1765 R Street NW Unit 1B, Washington, DC 20009</t>
  </si>
  <si>
    <t>Mar 04, 2025</t>
  </si>
  <si>
    <t>Oct 24, 2025</t>
  </si>
  <si>
    <t>1765 R Street NW Unit 1A, Washington, DC 20009</t>
  </si>
  <si>
    <t>1765 R Street NW Unit 102, Washington, DC 20009</t>
  </si>
  <si>
    <t>Apr 01, 2025</t>
  </si>
  <si>
    <t>1765 R Street NW Unit 101, Washington, DC 20009</t>
  </si>
  <si>
    <t>1754 Park Road NW Unit House, Washington, DC 20010</t>
  </si>
  <si>
    <t>Oct 23, 2025</t>
  </si>
  <si>
    <t>Mar 07, 2026</t>
  </si>
  <si>
    <t>1753 Q Street NW Unit B, Washington, DC 20009</t>
  </si>
  <si>
    <t>Andrea</t>
  </si>
  <si>
    <t>Dec 23, 2024</t>
  </si>
  <si>
    <t>1752 S Street NW Unit 4, Washington, DC 20009</t>
  </si>
  <si>
    <t>Kathryn</t>
  </si>
  <si>
    <t>1743 Q St NW Unit House, Washington, DC 20009</t>
  </si>
  <si>
    <t>Ellen</t>
  </si>
  <si>
    <t>Oct 04, 2028</t>
  </si>
  <si>
    <t>Apr 27, 2026</t>
  </si>
  <si>
    <t>1740 R Street NW Unit 2, Washington, DC 20009</t>
  </si>
  <si>
    <t>Stuart</t>
  </si>
  <si>
    <t>Feb 12, 2025</t>
  </si>
  <si>
    <t>Feb 09, 2026</t>
  </si>
  <si>
    <t>Apr 04, 2026</t>
  </si>
  <si>
    <t>Mar 18, 2026</t>
  </si>
  <si>
    <t>1737 Q Street NW Unit 2, Washington, DC 20009</t>
  </si>
  <si>
    <t>Aug 27, 2025</t>
  </si>
  <si>
    <t>Feb 21, 2026</t>
  </si>
  <si>
    <t>Jan 23, 2026</t>
  </si>
  <si>
    <t>1737 Q Street NW Unit 4, Washington, DC 20009</t>
  </si>
  <si>
    <t>Feb 02, 2025</t>
  </si>
  <si>
    <t>Dec 04, 2024</t>
  </si>
  <si>
    <t>1737 Q Street NW Unit 1, Washington, DC 20009</t>
  </si>
  <si>
    <t>Oct 12, 2025</t>
  </si>
  <si>
    <t>Mar 30, 2027</t>
  </si>
  <si>
    <t>1737 Q Street NW Unit 3, Washington, DC 20009</t>
  </si>
  <si>
    <t>May 12, 2027</t>
  </si>
  <si>
    <t>1737 Connecticut Avenue NW Unit 302, Washington, DC 20009</t>
  </si>
  <si>
    <t>Eli</t>
  </si>
  <si>
    <t>Jul 22, 2026</t>
  </si>
  <si>
    <t>1737 Connecticut Avenue NW Unit 401, Washington, DC 20009</t>
  </si>
  <si>
    <t>Apr 19, 2025</t>
  </si>
  <si>
    <t>1737 Connecticut Avenue NW Unit 502, Washington, DC 20009</t>
  </si>
  <si>
    <t>Mar 26, 2025</t>
  </si>
  <si>
    <t>1737 Connecticut Avenue NW Unit 301, Washington, DC 20009</t>
  </si>
  <si>
    <t>Dec 22, 2025</t>
  </si>
  <si>
    <t>Aug 18, 2026</t>
  </si>
  <si>
    <t>1736 19th Street NW Unit 1, Washington, DC 20009</t>
  </si>
  <si>
    <t>Dec 31, 2024</t>
  </si>
  <si>
    <t>Feb 25, 2026</t>
  </si>
  <si>
    <t>1729 Riggs Place NW Unit 1, Washington, DC 20009</t>
  </si>
  <si>
    <t>May 06, 2025</t>
  </si>
  <si>
    <t>May 02, 2026</t>
  </si>
  <si>
    <t>May 18, 2026</t>
  </si>
  <si>
    <t>Aug 23, 2026</t>
  </si>
  <si>
    <t>Sep 20, 2026</t>
  </si>
  <si>
    <t>Dec 20, 2026</t>
  </si>
  <si>
    <t>1729 Riggs Place NW Unit 3, Washington, DC 20009</t>
  </si>
  <si>
    <t>May 27, 2026</t>
  </si>
  <si>
    <t>Nov 27, 2026</t>
  </si>
  <si>
    <t>1729 Riggs Place NW Unit 4, Washington, DC 20009</t>
  </si>
  <si>
    <t>1724 Massachusetts Ave SE Unit 1, Washington, DC 20003</t>
  </si>
  <si>
    <t>Angela</t>
  </si>
  <si>
    <t>Mar 27, 2025</t>
  </si>
  <si>
    <t>1723 Willard Street NW Unit B, Washington, DC 20009</t>
  </si>
  <si>
    <t>Anka</t>
  </si>
  <si>
    <t>Jun 10, 2026</t>
  </si>
  <si>
    <t>Jun 12, 2026</t>
  </si>
  <si>
    <t>Aug 24, 2026</t>
  </si>
  <si>
    <t>1723 U Street NW Unit 4, Washington, DC 20009</t>
  </si>
  <si>
    <t>Kevin</t>
  </si>
  <si>
    <t>Jul 26, 2024</t>
  </si>
  <si>
    <t>Jul 31, 2028</t>
  </si>
  <si>
    <t>1717 P Street NW Unit E, Washington, DC 20036</t>
  </si>
  <si>
    <t>Hani</t>
  </si>
  <si>
    <t>1716 17th Street NW Unit 202, Washington, DC 20009</t>
  </si>
  <si>
    <t>1714 Swann Street NW Unit 3, Washington, DC 20009</t>
  </si>
  <si>
    <t>Evan and Nisha</t>
  </si>
  <si>
    <t>Dec 06, 2025</t>
  </si>
  <si>
    <t>Sep 19, 2026</t>
  </si>
  <si>
    <t>1714 15th St REAR NW Unit House, Washington, DC 20009</t>
  </si>
  <si>
    <t>Susan</t>
  </si>
  <si>
    <t>Jul 26, 2026</t>
  </si>
  <si>
    <t>1711 Massachusetts Ave NW Unit 515, Washington, DC 20036</t>
  </si>
  <si>
    <t>Eric</t>
  </si>
  <si>
    <t>Dec 11, 2025</t>
  </si>
  <si>
    <t>Feb 19, 2026</t>
  </si>
  <si>
    <t>1668 Tamarack Street NW Unit 1AB, Washington, DC 20012</t>
  </si>
  <si>
    <t>Anna</t>
  </si>
  <si>
    <t>1612 Beekman Place NW Unit B, Washington, DC 20009</t>
  </si>
  <si>
    <t>Dina</t>
  </si>
  <si>
    <t>Dec 07, 2024</t>
  </si>
  <si>
    <t>Dec 06, 2026</t>
  </si>
  <si>
    <t>1545 18th Street NW Unit 914, Washington, DC 20036</t>
  </si>
  <si>
    <t>Bruce</t>
  </si>
  <si>
    <t>Sep 18, 2024</t>
  </si>
  <si>
    <t>Sep 06, 2024</t>
  </si>
  <si>
    <t>1531 S Street NW Unit 1, Washington, DC 20009</t>
  </si>
  <si>
    <t>Ben</t>
  </si>
  <si>
    <t>1521 Corcoran Street NW Unit 1, Washington, DC 20009</t>
  </si>
  <si>
    <t>Julie</t>
  </si>
  <si>
    <t>Apr 06, 2025</t>
  </si>
  <si>
    <t>1521 Corcoran Street NW Unit 5, Washington, DC 20009</t>
  </si>
  <si>
    <t>Dec 11, 2024</t>
  </si>
  <si>
    <t>Mar 21, 2026</t>
  </si>
  <si>
    <t>1521 Corcoran Street NW Unit 4, Washington, DC 20009</t>
  </si>
  <si>
    <t>Apr 26, 2025</t>
  </si>
  <si>
    <t>Apr 23, 2025</t>
  </si>
  <si>
    <t>1521 Corcoran Street NW Unit 3, Washington, DC 20009</t>
  </si>
  <si>
    <t>Sep 22, 2025</t>
  </si>
  <si>
    <t>1521 Corcoran Street NW Unit 2, Washington, DC 20009</t>
  </si>
  <si>
    <t>1511 Q Street NW Unit B, Washington, DC 20009</t>
  </si>
  <si>
    <t>Mar 01, 2026</t>
  </si>
  <si>
    <t>1511 Q Street, NW Unit House, Washington, DC 20009</t>
  </si>
  <si>
    <t>Mar 15, 2026</t>
  </si>
  <si>
    <t>Sep 15, 2026</t>
  </si>
  <si>
    <t>1503 R Street NW Unit 2, Washington, DC 20009</t>
  </si>
  <si>
    <t>Jeff</t>
  </si>
  <si>
    <t>Oct 31, 2024</t>
  </si>
  <si>
    <t>Oct 17, 2024</t>
  </si>
  <si>
    <t>Jun 16, 2026</t>
  </si>
  <si>
    <t>1503 12th Street NW Unit 2, Washington, DC 20005</t>
  </si>
  <si>
    <t>Diego</t>
  </si>
  <si>
    <t>1459 S Street NW Unit 2, Washington, DC 20009</t>
  </si>
  <si>
    <t>1455 W Street NW Unit 3, Washington, DC 20009</t>
  </si>
  <si>
    <t>Mar 23, 2026</t>
  </si>
  <si>
    <t>1440 N Street NW Unit 911, Washington, DC 20005</t>
  </si>
  <si>
    <t>1422 21st St S Unit House, Arlington, VA 22202</t>
  </si>
  <si>
    <t>Oct 27, 2024</t>
  </si>
  <si>
    <t>Oct 25, 2024</t>
  </si>
  <si>
    <t>Sep 01, 2026</t>
  </si>
  <si>
    <t>1421 Hopkins Street NW Unit House, Washington, DC 20036</t>
  </si>
  <si>
    <t>Michael</t>
  </si>
  <si>
    <t>May 31, 2025</t>
  </si>
  <si>
    <t>1418-1/2 Rhode Island Avenue NW Unit Basement, Washington, DC 20005</t>
  </si>
  <si>
    <t>1418 Rhode Island Avenue NW Unit House, Washington, DC 20005</t>
  </si>
  <si>
    <t>Mar 03, 2025</t>
  </si>
  <si>
    <t>1418 Corcoran Street NW Unit 2, Washington, DC 20009</t>
  </si>
  <si>
    <t>1418 Corcoran Street NW Unit 1, Washington, DC 20009</t>
  </si>
  <si>
    <t>Jun 14, 2026</t>
  </si>
  <si>
    <t>1413 T Street NW Unit 306, Washington, DC 20009</t>
  </si>
  <si>
    <t>1408 S Street NW Unit House, Washington, DC 20009</t>
  </si>
  <si>
    <t>Hilda</t>
  </si>
  <si>
    <t>Dec 23, 2025</t>
  </si>
  <si>
    <t>1400 29th Street NW Unit House, Washington, DC 20007</t>
  </si>
  <si>
    <t>Katherine</t>
  </si>
  <si>
    <t>1365 Perry Place NW Unit House, Washington, DC 20010</t>
  </si>
  <si>
    <t>1349 Wallach Place NW Unit House, Washington, DC 20009</t>
  </si>
  <si>
    <t>Josh</t>
  </si>
  <si>
    <t>1340 Vermont Avenue NW Unit 3, Washington, DC 20005</t>
  </si>
  <si>
    <t>Hunter</t>
  </si>
  <si>
    <t>Apr 28, 2025</t>
  </si>
  <si>
    <t>Jan 02, 2027</t>
  </si>
  <si>
    <t>Apr 04, 2027</t>
  </si>
  <si>
    <t>1339 Corcoran Street NW Unit 1, Washington, DC 20009</t>
  </si>
  <si>
    <t>Andre</t>
  </si>
  <si>
    <t>Feb 21, 2025</t>
  </si>
  <si>
    <t>Feb 14, 2025</t>
  </si>
  <si>
    <t>1334 Corcoran St NW Unit B, Washington, DC 20009</t>
  </si>
  <si>
    <t>Evelyn</t>
  </si>
  <si>
    <t>1330 Fairmont Street NW Unit 1, Washington, DC 20009</t>
  </si>
  <si>
    <t>Aug 01, 2024</t>
  </si>
  <si>
    <t>Jul 01, 2024</t>
  </si>
  <si>
    <t>133 7th Street SE Unit 7, Washington, DC 20003</t>
  </si>
  <si>
    <t>Mar 17, 2025</t>
  </si>
  <si>
    <t>133 7th Street SE Unit 11, Washington, DC 20003</t>
  </si>
  <si>
    <t>Jan 02, 2025</t>
  </si>
  <si>
    <t>Dec 17, 2024</t>
  </si>
  <si>
    <t>133 7th Street SE Unit 1, Washington, DC 20003</t>
  </si>
  <si>
    <t>Mar 31, 2025</t>
  </si>
  <si>
    <t>133 7th Street SE Unit 3, Washington, DC 20003</t>
  </si>
  <si>
    <t>Yonatan</t>
  </si>
  <si>
    <t>133 7th Street SE Unit 5, Washington, DC 20003</t>
  </si>
  <si>
    <t>133 7th Street SE Unit 8, Washington, DC 20003</t>
  </si>
  <si>
    <t>133 7th Street SE Unit 2, Washington, DC 20003</t>
  </si>
  <si>
    <t>133 7th Street SE Unit 10, Washington, DC 20003</t>
  </si>
  <si>
    <t>133 7th Street SE Unit 4, Washington, DC 20003</t>
  </si>
  <si>
    <t>133 7th Street SE Unit 6, Washington, DC 20003</t>
  </si>
  <si>
    <t>1322 S Street NW Unit Apt B, Washington, DC 20009</t>
  </si>
  <si>
    <t>Ken</t>
  </si>
  <si>
    <t>Jun 24, 2026</t>
  </si>
  <si>
    <t>1313 Vermont Ave NW Unit 12, Washington, DC 20005</t>
  </si>
  <si>
    <t>Jan 06, 2026</t>
  </si>
  <si>
    <t>Feb 13, 2026</t>
  </si>
  <si>
    <t>Mar 02, 2027</t>
  </si>
  <si>
    <t>1310 Kingman Alley NW Unit House, Washington, DC 20005</t>
  </si>
  <si>
    <t>Sep 11, 2026</t>
  </si>
  <si>
    <t>1305 North Taylor Street Unit House, Arlington, VA 22201</t>
  </si>
  <si>
    <t>Monisha</t>
  </si>
  <si>
    <t>Jan 11, 2026</t>
  </si>
  <si>
    <t>1300 N Street NW Unit 612, Washington, DC 20005</t>
  </si>
  <si>
    <t>Sandra</t>
  </si>
  <si>
    <t>May 10, 2024</t>
  </si>
  <si>
    <t>130 S Street NW Unit House, Washington, DC 20001</t>
  </si>
  <si>
    <t>Jun 21, 2026</t>
  </si>
  <si>
    <t>124 4th Street NE Unit 1, Washington, DC 20002</t>
  </si>
  <si>
    <t>Aug 29, 2026</t>
  </si>
  <si>
    <t>1225 13th St NW Unit 111, Washington, DC 20005</t>
  </si>
  <si>
    <t>Lindy</t>
  </si>
  <si>
    <t>Jun 08, 2024</t>
  </si>
  <si>
    <t>Jun 08, 2027</t>
  </si>
  <si>
    <t>Apr 22, 2024</t>
  </si>
  <si>
    <t>1224 13th Street NW Unit 201, Washington, DC 20005</t>
  </si>
  <si>
    <t>Jan 27, 2026</t>
  </si>
  <si>
    <t>Mar 20, 2026</t>
  </si>
  <si>
    <t>1224 13th Street NW Unit 1, Washington, DC 20005</t>
  </si>
  <si>
    <t>Vivin</t>
  </si>
  <si>
    <t>1155 23rd Street NW Unit 2L, Washington, DC 20037</t>
  </si>
  <si>
    <t>May 01, 2027</t>
  </si>
  <si>
    <t>1155 23rd St NW Unit PH1M, Washington, DC 20036</t>
  </si>
  <si>
    <t>Zalmay</t>
  </si>
  <si>
    <t>May 16, 2027</t>
  </si>
  <si>
    <t>1133 13th Street NW Unit 505, Washington, DC 20005</t>
  </si>
  <si>
    <t>Jul 04, 2024</t>
  </si>
  <si>
    <t>Oct 02, 2026</t>
  </si>
  <si>
    <t>1127 Independence Avenue SE Unit House, Washington, DC 20003</t>
  </si>
  <si>
    <t>Jan 27, 2025</t>
  </si>
  <si>
    <t>1125 D Street NE Unit House, Washington, DC 20002</t>
  </si>
  <si>
    <t>George</t>
  </si>
  <si>
    <t>1121 Arlington Boulevard Unit 847, Arlington, VA 22209</t>
  </si>
  <si>
    <t>Apr 03, 2025</t>
  </si>
  <si>
    <t>1115 M Street NW Unit 2, Washington, DC 20005</t>
  </si>
  <si>
    <t>1111 19th Street N Unit 1409, Arlington, VA 22209</t>
  </si>
  <si>
    <t>Nigel</t>
  </si>
  <si>
    <t>Jan 18, 2025</t>
  </si>
  <si>
    <t>Apr 17, 2027</t>
  </si>
  <si>
    <t>11 2nd Street NE Unit 106, Washington, DC 20002</t>
  </si>
  <si>
    <t>1077 30th Street NW Unit Apt 209, Washington, DC 20007</t>
  </si>
  <si>
    <t>Samantha</t>
  </si>
  <si>
    <t>Aug 20, 2026</t>
  </si>
  <si>
    <t>1020 North Highland Street Unit 315, Arlington, VA 22201</t>
  </si>
  <si>
    <t>Joseph</t>
  </si>
  <si>
    <t>Dec 01, 2024</t>
  </si>
  <si>
    <t>Dec 01, 2026</t>
  </si>
  <si>
    <t>Sep 23, 2024</t>
  </si>
  <si>
    <t>1017 5th Street SE Unit 1, Washington, DC 20003</t>
  </si>
  <si>
    <t>Oct 09, 2024</t>
  </si>
  <si>
    <t>1016 29th Street NW Unit House, Washington, DC 20007</t>
  </si>
  <si>
    <t>1011 Arlington Blvd Unit 620, Arlington, VA 22209</t>
  </si>
  <si>
    <t>Jan 16, 2025</t>
  </si>
  <si>
    <t>Jan 03, 2025</t>
  </si>
  <si>
    <t>1001 New Hampshire Avenue NW Unit House, Washington, DC 20037</t>
  </si>
  <si>
    <t>Todd</t>
  </si>
  <si>
    <t>Oct 04, 2025</t>
  </si>
  <si>
    <t>1001 New Hampshire Ave NW Unit B, Washington, DC 20037</t>
  </si>
  <si>
    <t>May 26, 2024</t>
  </si>
  <si>
    <t>Apr 25, 2024</t>
  </si>
  <si>
    <t>Aug 06, 2026</t>
  </si>
  <si>
    <t>Aug 05, 2027</t>
  </si>
  <si>
    <t>1001 L Street NW Unit 507, Washington, DC 20001</t>
  </si>
  <si>
    <t>Vijaya &amp; Suhasini</t>
  </si>
  <si>
    <t>Feb 29, 2024</t>
  </si>
  <si>
    <t>Jan 31, 2027</t>
  </si>
  <si>
    <t>10 Ashby Street Unit D, Alexandria, VA 22305</t>
  </si>
  <si>
    <t>Sabrina</t>
  </si>
  <si>
    <t>Apr 19, 2026</t>
  </si>
  <si>
    <t>Nov 26, 2026</t>
  </si>
  <si>
    <t>Square Footage</t>
  </si>
  <si>
    <t>Property ID</t>
  </si>
  <si>
    <t>1934 Calvert Street NW Unit 4, Washington, DC 20009</t>
  </si>
  <si>
    <t>Sqft</t>
  </si>
  <si>
    <t>Property Editor Link</t>
  </si>
  <si>
    <t>Bedrooms</t>
  </si>
  <si>
    <t>Neighborhood</t>
  </si>
  <si>
    <t>Georgetown</t>
  </si>
  <si>
    <t>6226 Kellogg Dr NW Unit House, McLean, VA 22101</t>
  </si>
  <si>
    <t>Potomac</t>
  </si>
  <si>
    <t>Columbia Heights</t>
  </si>
  <si>
    <t>DNU QQQQ NW Unit -, Washington, DC 20007</t>
  </si>
  <si>
    <t>Studio</t>
  </si>
  <si>
    <t>Arlington</t>
  </si>
  <si>
    <t>Dupont Circle</t>
  </si>
  <si>
    <t>Cleveland Park</t>
  </si>
  <si>
    <t>DNU - 1740 R Street NW NW Unit 2, Washington DC, DC 20009</t>
  </si>
  <si>
    <t>1330 35th Street NW Unit House, Washington, DC 20007</t>
  </si>
  <si>
    <t>Dupont /WestEnd</t>
  </si>
  <si>
    <t>Adams Morgan</t>
  </si>
  <si>
    <t>Palisades</t>
  </si>
  <si>
    <t>Waterfront</t>
  </si>
  <si>
    <t>DNU 88 V St SW NW Unit 402, Washington, DC 20024</t>
  </si>
  <si>
    <t>1919 19th Street Northwest NW Unit 202, Washington, DC 20009</t>
  </si>
  <si>
    <t>Logan Circle</t>
  </si>
  <si>
    <t>DNU - 1459 S ST NW - Apt #2 Unit House, Washington, DC 20009</t>
  </si>
  <si>
    <t>1743 Q St NW Unit Basement, Washington, DC 20009</t>
  </si>
  <si>
    <t>Cathedral Heights</t>
  </si>
  <si>
    <t>418 D Street SE Unit 3, Washington, DC 20003</t>
  </si>
  <si>
    <t>Capitol Hill</t>
  </si>
  <si>
    <t>DNU 5049 Garfield St NW Unit House, Washington, DC 20016</t>
  </si>
  <si>
    <t>THIS IS THE DO NOT USE - 1016 29th St NW Unit House, Washington, DC 20007</t>
  </si>
  <si>
    <t>Navy Yard</t>
  </si>
  <si>
    <t>Mt Pleasant</t>
  </si>
  <si>
    <t>Glover Park</t>
  </si>
  <si>
    <t>Alexandria</t>
  </si>
  <si>
    <t>Bloomingdale</t>
  </si>
  <si>
    <t>Testing Unit a1, testing, 09 20005</t>
  </si>
  <si>
    <t>1723 U Street NW Unit bldg, Washington, DC 20009</t>
  </si>
  <si>
    <t>FivePlusBed</t>
  </si>
  <si>
    <t>U Street Corridor</t>
  </si>
  <si>
    <t>test test location NW Unit 123, washington, DC 20005</t>
  </si>
  <si>
    <t>1440 N Street NW Unit 502, Washington, DC 20005</t>
  </si>
  <si>
    <t>Woodley Park</t>
  </si>
  <si>
    <t>McLean/Tyson's Corner</t>
  </si>
  <si>
    <t>DNU 11 2nd Street NE Unit 106, Washington, DC 20002</t>
  </si>
  <si>
    <t>Shepherd Park</t>
  </si>
  <si>
    <t>2004 15th Street NW Unit 2A, Washington, DC 20009</t>
  </si>
  <si>
    <t>5068 Sherier Place NW Unit House, Washington, DC 20016</t>
  </si>
  <si>
    <t>DNU -  Olive St NW Unit X, Washington, DC 20007</t>
  </si>
  <si>
    <t>1700 Kalorama Road NW Unit 207, Washington, DC 20009</t>
  </si>
  <si>
    <t>DNU-811 4th Street NW Unit 421, Washington, DC 20001</t>
  </si>
  <si>
    <t>Mt Vernon Sq / Convention Center</t>
  </si>
  <si>
    <t>DO NOT USE ***** 1715 15th ST NW Unit 46, Washington, DC 20009-3878</t>
  </si>
  <si>
    <t>1715 15th Street NW Unit 46, Washington, DC 20009</t>
  </si>
  <si>
    <t>1607 Ballard Street Unit 1AB, Silver Spring, MD 20910</t>
  </si>
  <si>
    <t>Silver Spring</t>
  </si>
  <si>
    <t>The Wharf</t>
  </si>
  <si>
    <t>Chevy Chase</t>
  </si>
  <si>
    <t>1213 N Street NW Unit A, Washington, DC 20005</t>
  </si>
  <si>
    <t>935 15th Street SE Unit 1AB, Washington, DC 20003</t>
  </si>
  <si>
    <t>130 S DKsja Unit 1AB, Virginia, DC 20202</t>
  </si>
  <si>
    <t>1703 West virginia Unit 1AB, Washington DC, DC 20002</t>
  </si>
  <si>
    <t>Brookland</t>
  </si>
  <si>
    <t>1825 Providence Street NE Unit 1AB, Washington, DC 20002</t>
  </si>
  <si>
    <t>1703 West Virginia Ave NE Unit 1AB, Washington, DC 20002</t>
  </si>
  <si>
    <t>1027 Hamlin Street NE Unit 1AB, Washington, DC 20017</t>
  </si>
  <si>
    <t>1300 4th Street SE Unit 213, Washington, DC 20003</t>
  </si>
  <si>
    <t>1528 Swann Street NW Unit 1AB, Washington, DC 20009</t>
  </si>
  <si>
    <t>1350 Maryland Ave NE Unit 304, Washington, DC 20002</t>
  </si>
  <si>
    <t>H Street Corridor</t>
  </si>
  <si>
    <t>218 E Street NE Unit 1, Washinton, DC 20002</t>
  </si>
  <si>
    <t>208 T Street NE Unit 4, Washington, DC 20002</t>
  </si>
  <si>
    <t>Eckington</t>
  </si>
  <si>
    <t>1608 R Street NW Unit 1AB, Washington, DC 20009</t>
  </si>
  <si>
    <t>1437 Pennsylvania Ave SE Unit 4, Washington, DC 20003</t>
  </si>
  <si>
    <t>1437 Pennsylvania Ave SE Unit 3, Washington, DC 20003</t>
  </si>
  <si>
    <t>1437 Pennsylvania Ave SE Unit 2, Washington, DC 20003</t>
  </si>
  <si>
    <t>1437 Pennsylvania Ave SE Unit 1, Washington, DC 20003</t>
  </si>
  <si>
    <t>213123123 Unit 1AB, asdsad, 11 11223322322</t>
  </si>
  <si>
    <t>1311 Corcoran Street NW Unit 1AB, Washington, DC 20009</t>
  </si>
  <si>
    <t>1800DNU test Unit DNU, Washington, dc 20009</t>
  </si>
  <si>
    <t>DNU-7229 16th St NW Unit Unit B, Washington, DC 20012</t>
  </si>
  <si>
    <t>DNU-7229 16th St NW Unit B, Washington, DC 20012</t>
  </si>
  <si>
    <t>Colonial Village</t>
  </si>
  <si>
    <t>2015 Rosemount Ave NW Unit 1AB, Washington, DC 20010</t>
  </si>
  <si>
    <t>1620 Swann Street NW Unit 1AB, Washington, DC 20009</t>
  </si>
  <si>
    <t>206 E Jefferson Street Unit 1AB, Falls Church, VA 22046</t>
  </si>
  <si>
    <t>Falls Church City</t>
  </si>
  <si>
    <t>721 12th Street SE Unit 1, Washington, DC 20003</t>
  </si>
  <si>
    <t>147 Randolph Place NW Unit 1AB, Washington, DC 20001</t>
  </si>
  <si>
    <t>3110 Garfield Street NW Unit 1AB, Washington, DC 20008</t>
  </si>
  <si>
    <t>1350 Beverly Road Unit 7426-6, Tysons Corner, VA 22101</t>
  </si>
  <si>
    <t>1768 Old Meadow Road Unit 443, Tysons, VA 22102</t>
  </si>
  <si>
    <t>1768 Old Meadow Road Unit 154, Tysons, VA 22102</t>
  </si>
  <si>
    <t>1768 Old Meadow Road Unit 155, Tysons, VA 22102</t>
  </si>
  <si>
    <t>1768 Old Meadow Road Unit 128, Tysons, VA 22102</t>
  </si>
  <si>
    <t>1350 Beverly Road Unit 618, McLean, VA 22101</t>
  </si>
  <si>
    <t>1350 Beverly Road Unit 1206, McLean, VA 22101</t>
  </si>
  <si>
    <t>1350 Beverly Road Unit 1101, McLean, VA 20902</t>
  </si>
  <si>
    <t>DNU - 147 Randolph place NW Unit 1AB, Washington, DC 20001</t>
  </si>
  <si>
    <t>123 Real St Unit 1AB, Real City, DC 20001</t>
  </si>
  <si>
    <t>ignore Unit 123, DCC, DC 10001</t>
  </si>
  <si>
    <t>123 Not Real St Unit 123, Fakeville, DC 20001</t>
  </si>
  <si>
    <t>514 F Street NE Unit 1AB, Washington, DC 20002</t>
  </si>
  <si>
    <t>58 V Street NW Unit 1AB, Washington, DC 20001</t>
  </si>
  <si>
    <t>514 F St- DO NOT USE NE Unit 1AB, Washington, DC 20002</t>
  </si>
  <si>
    <t>1603 16th Street NW Unit 2, Washington, DC 20009</t>
  </si>
  <si>
    <t>DNU - 566 N Saint Asaph St Unit 566, Alexandria, VA 22314</t>
  </si>
  <si>
    <t>2030 8th Street NW Unit 213, Washington, DC 20001</t>
  </si>
  <si>
    <t>Shaw</t>
  </si>
  <si>
    <t>Southwest Waterfront</t>
  </si>
  <si>
    <t>555 Massachusetts Avenue NW Unit 813, Washington, DC 20001</t>
  </si>
  <si>
    <t>Special Cleaning Service - Request from Guest Unit 1AB, Washington, DC 20009</t>
  </si>
  <si>
    <t>Cleaning Services Unit 1AB, Washington, DC 20009</t>
  </si>
  <si>
    <t>Recurring cleaning service Unit 1AB, Washington, DC 20009</t>
  </si>
  <si>
    <t>1481 Florida Avenue NW Unit D1, Washington, DC 20009</t>
  </si>
  <si>
    <t>516 5th Street SE Unit 1AB, Washington, DC 20003</t>
  </si>
  <si>
    <t>1739 Q Street NW Unit 1, Washington, DC 20009</t>
  </si>
  <si>
    <t>3428 Reservoir Rd NW Unit 1AB, Washington, DC 20007</t>
  </si>
  <si>
    <t>1326 Girard Street NW Unit Unit 3, Washington, DC 20009</t>
  </si>
  <si>
    <t>Wesley Heights</t>
  </si>
  <si>
    <t>1733 WILLARD ST NW NW Unit 1AB, WASHINGTON, DC 20009</t>
  </si>
  <si>
    <t>DNU 1731232 Riggs PL NW NW Unit B, Washington, DC 20009</t>
  </si>
  <si>
    <t>DO NOT USE - 5338 Macomb NW Unit b, Washington, Dc 20009</t>
  </si>
  <si>
    <t>DO NOT USE -  52322 Macomb NW Unit B, Washington, DC 20016</t>
  </si>
  <si>
    <t>DO NOT USE - 52322 Macomb NW Unit Bb, Washington, Dc 20009</t>
  </si>
  <si>
    <t>DO NOT USE - 5232 Macomb apt B NW Unit B, Washington, DC 20009</t>
  </si>
  <si>
    <t>DO NOT USE - 5232 Macomb Street - Apt b NW Unit B, Washington, DC 20016</t>
  </si>
  <si>
    <t>5232 Macomb Street - B NW Unit 1AB, Washington, DC 20016</t>
  </si>
  <si>
    <t>1211 Van Street SE Unit 908, Washington, DC 20003</t>
  </si>
  <si>
    <t>242 14th Street SE Unit #B, Washington, DC, DC 20003</t>
  </si>
  <si>
    <t>1255 C Street SE Unit 1AB, Washington DC, DC 20003</t>
  </si>
  <si>
    <t>3500 Windsor Pl Unit 1AB, Chevy Chase, MD 20815</t>
  </si>
  <si>
    <t>1825 19th St NW NW Unit 4, Washington, DC 20009</t>
  </si>
  <si>
    <t>1111 Arlington Boulevard Unit 508, Arlington, VA 22209</t>
  </si>
  <si>
    <t>1634 4th Street NW Unit 1AB, Washington, DC 20001</t>
  </si>
  <si>
    <t>Truxton Circle</t>
  </si>
  <si>
    <t>DO NOT USE - 1021 Arlington Blvd Unit 920, Arlington, VA 22209</t>
  </si>
  <si>
    <t>1011 Arlington Blvd Unit 1116, Arlington, VA 22209</t>
  </si>
  <si>
    <t>DO NOT USE - 1714 15th St - REAR NW Unit 1AB, Washington, DC 20009</t>
  </si>
  <si>
    <t>608 Brookes Ridge Court Unit 1AB, Bethesda, MD 20816</t>
  </si>
  <si>
    <t>Bethesda</t>
  </si>
  <si>
    <t>115 V Street NW Unit 1AB, Washington, DC 20001</t>
  </si>
  <si>
    <t>922 15th Street SE Unit 1AB, Washington, DC 20003</t>
  </si>
  <si>
    <t>736 13th Street SE Unit 1AB, Washington, DC 20003</t>
  </si>
  <si>
    <t>941 M Street NW Unit A, Washington, DC 20001</t>
  </si>
  <si>
    <t>407 Russell Rd Unit 1AB, Alexandria, VA 22301</t>
  </si>
  <si>
    <t>115 V Street NW Unit 2 - lower level, Washington, DC 20001</t>
  </si>
  <si>
    <t>1708 19th Street Unit Parking, Washington, DC 20009</t>
  </si>
  <si>
    <t>335 N Patrick St Unit 1AB, Alexandria, VA 22314</t>
  </si>
  <si>
    <t>4822 Hampden Lane Unit 1AB, Bethesda, MD 20814</t>
  </si>
  <si>
    <t>133 7th Street SE Unit 13, Washington, DC 20003</t>
  </si>
  <si>
    <t>133 7th Street SE Unit 12, Washington, DC 20003</t>
  </si>
  <si>
    <t>133 7th Street SE Unit 9, Washington, DC 20003</t>
  </si>
  <si>
    <t>1737 Q Street NW Unit 5, Washington, DC 20009</t>
  </si>
  <si>
    <t>2013 Kalorama Road NW Unit 4, Washington, DC 20009</t>
  </si>
  <si>
    <t>Kalorama</t>
  </si>
  <si>
    <t>711 E Street SE Unit 304, Washington, DC 20003</t>
  </si>
  <si>
    <t>711 E Street SE Unit 301, Washington, DC 20003</t>
  </si>
  <si>
    <t>711 E Street SE Unit 204, Washington, DC 20003</t>
  </si>
  <si>
    <t>711 E Street SE Unit 104, Washington, DC 20003</t>
  </si>
  <si>
    <t>711 E Street SE Unit 101, Washington, DC 20003</t>
  </si>
  <si>
    <t>711 E Street SE Unit 201, Washington, DC 20003</t>
  </si>
  <si>
    <t>2711 Ordway Street NW Unit 101, Washington, DC 20008</t>
  </si>
  <si>
    <t>922 24th Street NW Unit 515, Washington D.C., 00 20520</t>
  </si>
  <si>
    <t>Foggy Bottom</t>
  </si>
  <si>
    <t>1822 15th Street NW Unit 306, Washington D.C., 00 20009</t>
  </si>
  <si>
    <t>1021 Arlington Blvd Unit 920, Arlington, VA 22209</t>
  </si>
  <si>
    <t>3003 P Street NW Unit 201, Washington, DC 20007</t>
  </si>
  <si>
    <t>777 7th Street NW Unit 732, Washington, DC 20001</t>
  </si>
  <si>
    <t>Penn Quarter</t>
  </si>
  <si>
    <t>1708 19th Street NW Unit 1, Washington, DC 20009</t>
  </si>
  <si>
    <t>2804 27th Street NW Unit 1AB, Washington, DC 20008</t>
  </si>
  <si>
    <t>DO NOT USE - 27th Street Northwest, Washington, DC, USA NW Unit Main, Washington, DC 20008</t>
  </si>
  <si>
    <t>2030 8th Street NW NW Unit 507, Washington, DC 20001</t>
  </si>
  <si>
    <t>1001 4th Street SE Unit 1AB, Washington, DC 20003</t>
  </si>
  <si>
    <t>5411 McGrath Boulevard Unit 1223, North Bethesda, MD 20852</t>
  </si>
  <si>
    <t>1519 Caroline Street NW Unit 1AB, Washington, DC 20009</t>
  </si>
  <si>
    <t>315 I St NE Unit 2, Washington, DC 20002</t>
  </si>
  <si>
    <t>DONOTUSE 3630Garfield St NW NW Unit 1AB, Washington, DC 20007</t>
  </si>
  <si>
    <t>1905 S Street NW Unit B, Washington, DC 20009</t>
  </si>
  <si>
    <t>DO NOT USE -  XX Unit 507, Washington, DC 20001</t>
  </si>
  <si>
    <t>3630 Garfield Street NW Unit 1AB, Washington, DC 20007</t>
  </si>
  <si>
    <t>11 st Unit 1, washington, DC 20001</t>
  </si>
  <si>
    <t>1754 Willard Street NW Unit 2, Washington, DC 20009</t>
  </si>
  <si>
    <t>4201 Cathedral Ave NW  (Ciara Cobos Trial DO NOT USE) Unit 814 W, Washington D.C, DC 20016</t>
  </si>
  <si>
    <t>1111 W Street NW Unit 8, Washington DC, DC 20009</t>
  </si>
  <si>
    <t>1531 31st Street NW Unit 2, Washington, DC 20007</t>
  </si>
  <si>
    <t>1766 T Street NW Unit 1AB, Washington, DC 20009</t>
  </si>
  <si>
    <t>3405 Prospect Street NW Unit B1, Washington, DC 20007</t>
  </si>
  <si>
    <t>1732 21st Street NW Unit B, Washington, DC 20009</t>
  </si>
  <si>
    <t>1435 4th St SW Unit 210, Washington, DC 20024</t>
  </si>
  <si>
    <t>1435 4th St SW Unit 1AB, Washington, DC 20024</t>
  </si>
  <si>
    <t>437 New York Ave NW Unit 1209, Washington, DC 20001</t>
  </si>
  <si>
    <t>1522 8th Street NW Unit #1, Washington, DC 20001</t>
  </si>
  <si>
    <t>1522 8th Street NW Unit 1AB, Washington, DC 20001</t>
  </si>
  <si>
    <t>1201 N Garfield St Unit 115, Arlington, VA 22201</t>
  </si>
  <si>
    <t>1800 R Street NW Unit C-5, Washington, DC 20009</t>
  </si>
  <si>
    <t>1017 3rd Place SE Unit 1AB, Washington, DC 20003</t>
  </si>
  <si>
    <t>DNU 221 3rd Street SE Unit Entire House, Washington, DC 20003</t>
  </si>
  <si>
    <t>221 3rd Street SE Unit 1AB, Washington, DC 20003</t>
  </si>
  <si>
    <t>631 Constitution Avenue NE Unit Carriage House, Washington, DC 20002</t>
  </si>
  <si>
    <t>312 South Fenwick Street Unit 1AB, Arlington, VA 22204</t>
  </si>
  <si>
    <t>1456 Church Street NW Unit 1, Washington, DC 20005</t>
  </si>
  <si>
    <t>18 Snows Court NW Unit 1AB, Washington, DC 20037</t>
  </si>
  <si>
    <t>1600 Q Street NW Unit 3, Washington, DC 20009</t>
  </si>
  <si>
    <t>1698 32nd Street NW Unit 1AB, Washington, DC 20007</t>
  </si>
  <si>
    <t>1904 11th Street NW Unit 1AB, Washington, DC 20001</t>
  </si>
  <si>
    <t>DNU- 1904 11th St NW NW Unit 1AB, Washington, DC 20001</t>
  </si>
  <si>
    <t>55 street new Unit 2, washington, DC 20009</t>
  </si>
  <si>
    <t>1625 First Street NE Unit 1AB, Washington, DC 20002</t>
  </si>
  <si>
    <t>614 East Capitol Street NE Unit 3, Washington, DC 20003</t>
  </si>
  <si>
    <t>601 Pennsylvania Avenue NW Unit 1004, Washington, DC 20004</t>
  </si>
  <si>
    <t>614 East Capitol Street NE Unit 2, Washington, DC 20003</t>
  </si>
  <si>
    <t>123 S Street Unit 1AB, washington, DC 20009</t>
  </si>
  <si>
    <t>507 O Street NW Unit 5, Washington, DC 20001</t>
  </si>
  <si>
    <t>1107 6th Street NE Unit 1AB, Washington, DC 20002</t>
  </si>
  <si>
    <t>1823 Kalorama Road NW Unit B, washington, DC 20009</t>
  </si>
  <si>
    <t>1821 Vermont Avenue NW Unit 1AB, Washington, DC 20001</t>
  </si>
  <si>
    <t>1457 Girard Street NW Unit PH7, Washington, DC 20009</t>
  </si>
  <si>
    <t>3850 Calvert Street NW Unit Alley Entrance, Washington, DC 20007</t>
  </si>
  <si>
    <t>DNU 1823 Kalorama Street NW Unit F, washington, DC 20009</t>
  </si>
  <si>
    <t>1823 Kalorama Road NW Unit E, washington, DC 20009</t>
  </si>
  <si>
    <t>1823 Kalorama Road NW Unit D, Washington, DC 20009</t>
  </si>
  <si>
    <t>1823 Kalorama Road NW Unit C, Washington, DC 20009</t>
  </si>
  <si>
    <t>2301 N Street NW Unit #83, Washington, DC 20036</t>
  </si>
  <si>
    <t>1823 Kalorama Road NW Unit A, Washington, DC 20009</t>
  </si>
  <si>
    <t>404 Constitution Avenue NE Unit 1AB, Washington, DC 20002</t>
  </si>
  <si>
    <t>519 10th Street SE Unit 1, Washington, DC 20003</t>
  </si>
  <si>
    <t>3427 Reservoir Road NW Unit 1A, Washington, DC 20007</t>
  </si>
  <si>
    <t>2121 S Street NW Unit 1AB, Washington, DC 20008</t>
  </si>
  <si>
    <t>519 10th Street SE Unit 2, Washington, DC 20003</t>
  </si>
  <si>
    <t>1227 15th Street NW Unit 3, Washington, DC 20009</t>
  </si>
  <si>
    <t>Downtown</t>
  </si>
  <si>
    <t>1227 15th Street NW Unit 2, Washington, DC 20009</t>
  </si>
  <si>
    <t>1227 15th Street NW Unit 1, Washington, DC 20009</t>
  </si>
  <si>
    <t>2024 16th Street NW Unit PH, Washington, DC 20009</t>
  </si>
  <si>
    <t>123 5th Street NE Unit 1AB, Washington, DC 20002</t>
  </si>
  <si>
    <t>DNU 130 S St - thru June 2024 NW Unit 1AB, Washington, DC 20001</t>
  </si>
  <si>
    <t>1118 5th Street NW Unit 1AB, Washington, DC 20001</t>
  </si>
  <si>
    <t>1229 15th Street NW Unit D, washington, DC 20009</t>
  </si>
  <si>
    <t>1229 15th Street NW Unit SL, Washington, DC 20009</t>
  </si>
  <si>
    <t>1229 15th Street NW Unit 2F, washington, DC 20009</t>
  </si>
  <si>
    <t>1229 15th Street NW Unit 3F, Washington, DC 20009</t>
  </si>
  <si>
    <t>400 M Street NW Unit 1AB, Washington, DC 20001</t>
  </si>
  <si>
    <t>1229 15th Street NW Unit PH, Washington, DC 20009</t>
  </si>
  <si>
    <t>1603 S Street - Carriage House NW Unit 1AB, Washington, DC 20009</t>
  </si>
  <si>
    <t>17 6th Street SE Unit 1AB, Washington, DC 20003</t>
  </si>
  <si>
    <t>1819 Vernon Street NW Unit 3, Washington, DC 20009</t>
  </si>
  <si>
    <t>1503 12th Street NW Unit 3, Washington, DC 20005</t>
  </si>
  <si>
    <t>1765 R Street NW Unit Parking 1, Washington, DC 20009</t>
  </si>
  <si>
    <t>1606 6th Street NW Unit 1, washington, DC 20001</t>
  </si>
  <si>
    <t>1606 6th Street NW Unit 2, Washington, DC 20001</t>
  </si>
  <si>
    <t>2559 Waterside Dr NW Unit 1AB, Washington, DC 20008</t>
  </si>
  <si>
    <t>1513 Church St NW Unit 2, Washington, DC 20009</t>
  </si>
  <si>
    <t>2121 11th ST NW Unit 4, Washington, DC 20009</t>
  </si>
  <si>
    <t>135 Kentucky Ave SE Unit 1AB, Washington, DC 20003</t>
  </si>
  <si>
    <t>1903 New Hampshire Ave NW Unit B, Washington, DC 20009</t>
  </si>
  <si>
    <t>1903 New Hampshire Ave NW Unit Main, Washington, DC 20009</t>
  </si>
  <si>
    <t>815 7th Street NE Unit 1, Washington, DC 20002</t>
  </si>
  <si>
    <t>DO NOT USE 815 7th Street NE Unit 3, Washington, DC 20002</t>
  </si>
  <si>
    <t>815 7th Street NE Unit 2, Washington, DC 20002</t>
  </si>
  <si>
    <t>DO NOT USE 815 7th Street NE Unit 1, Washington, DC 20002</t>
  </si>
  <si>
    <t>2050 South Glebe Road Unit 2, Arlington, VA 22204</t>
  </si>
  <si>
    <t>2050 South Glebe Road Unit A, Arlington, VA 22204</t>
  </si>
  <si>
    <t>2050 South Glebe Road Unit 1, Arlington, VA 22204</t>
  </si>
  <si>
    <t>1033 N. Fairfax Street NW Unit 33, Alexandria, VA 22214</t>
  </si>
  <si>
    <t>712 G Street SE Unit 203, Washington, DC 20003</t>
  </si>
  <si>
    <t>DO NOT USE 3162 17th Street NW Unit 1, Washington, DC 20010</t>
  </si>
  <si>
    <t>DO NOT USE 636 G Street SE Unit Main, Washington, DC 20003</t>
  </si>
  <si>
    <t>DO NOT USE 636 G Street SE Unit B, Washington, DC 20003</t>
  </si>
  <si>
    <t>636 G Street SE Unit Main, Washington, DC 20003</t>
  </si>
  <si>
    <t>636 G Street SE Unit B, Washington, DC 20003</t>
  </si>
  <si>
    <t>1008 22nd  Street NW Unit Main, Washington, DC 20037</t>
  </si>
  <si>
    <t>1008 22nd Street NW Unit B, Washington, DC 20037</t>
  </si>
  <si>
    <t>1033 N. Fairfax Street Unit 25, Alexandria, VA 22214</t>
  </si>
  <si>
    <t>1033 N. Fairfax Street Unit 24, Alexandria, VA 22214</t>
  </si>
  <si>
    <t>1033 N. Fairfax Street Unit 23, Alexandria, VA 22214</t>
  </si>
  <si>
    <t>1033 N. Fairfax Street Unit 22, Alexandria, VA 22214</t>
  </si>
  <si>
    <t>3405 Prospect Street NW Unit 4, Washington, DC 20007</t>
  </si>
  <si>
    <t>3405 Prospect Street NW Unit 1, Washington, DC 20007</t>
  </si>
  <si>
    <t>631 Constitution Ave NE Unit 2, Washington, DC 20002</t>
  </si>
  <si>
    <t>1357 R ST NW Unit 413, washington, DC 20009</t>
  </si>
  <si>
    <t>1803 19th Street NW Unit 4, Washington, DC 20009</t>
  </si>
  <si>
    <t>1803 19th Street NW Unit 8, Washington, DC 20009</t>
  </si>
  <si>
    <t>1803 19th Street NW Unit 6, Washington, DC 20009</t>
  </si>
  <si>
    <t>1803 19th Street NW Unit 3, Washington, DC 20009</t>
  </si>
  <si>
    <t>1803 19th Street NW Unit 1, Washington, DC 20009</t>
  </si>
  <si>
    <t>2008 16th Street NW Unit 104, Washington, DC 20009</t>
  </si>
  <si>
    <t>631 Constitution Ave NE Unit 3, Washington, DC 20002</t>
  </si>
  <si>
    <t>631 Constitution Ave NE Unit 4, Washington, DC 20002</t>
  </si>
  <si>
    <t>631 Constitution Ave NE Unit 1, Washington, DC 20002</t>
  </si>
  <si>
    <t>1732 21st Street NW Unit Main, Washington, DC 20009</t>
  </si>
  <si>
    <t>1819 Vernon Street NW Unit 1, Washington, DC 20009</t>
  </si>
  <si>
    <t>DO NOT USE - OLD LISTING 21st Street NW Unit 1AB, Washington, DC 20009</t>
  </si>
  <si>
    <t>DO NOT USE 1804 S Street NW Unit 2, Washington, DC 20009</t>
  </si>
  <si>
    <t>9900 R St NW NW Unit 1AB, Washington, DC 20009</t>
  </si>
  <si>
    <t>2030 8th Street NW Unit 207, Washington, DC 20001</t>
  </si>
  <si>
    <t>Do not use Test 3355 16th St NW Unit 1, Washington, DC 20010</t>
  </si>
  <si>
    <t>1033 N. Fairfax Street Unit 6, Alexandria, VA 22214</t>
  </si>
  <si>
    <t>2130 N Street NW Unit 309, Washington, DC 20037</t>
  </si>
  <si>
    <t>1731 R Street NW Unit B, Washington, DC 20009</t>
  </si>
  <si>
    <t>619 P Street NW Unit 1AB, Washington, DC 20001</t>
  </si>
  <si>
    <t>527 2nd Street NE Unit B, Washington, DC 20002</t>
  </si>
  <si>
    <t>834 New Hampshire Avenue NW Unit 1AB, Washington, DC 20037</t>
  </si>
  <si>
    <t>1300 4th Street SE Unit 502, Washington, DC 20003</t>
  </si>
  <si>
    <t>1613 Riggs NW Unit B, Washington, DC 20009</t>
  </si>
  <si>
    <t>635 12th Street NE Unit 1AB, Washington, DC 20001</t>
  </si>
  <si>
    <t>1518 Corcoran Street NW Unit B, Washington, DC 20009</t>
  </si>
  <si>
    <t>555 Massachusetts Avenue NW Unit 808, Washington, DC 20001</t>
  </si>
  <si>
    <t>1634 Riggs Pl NW Unit Main, Washington, DC 20009</t>
  </si>
  <si>
    <t>1330 New Hampshire Ave NW Unit 1003, Washington, DC 20036</t>
  </si>
  <si>
    <t>777 7th Street NW Unit 314, Washington, DC 20001</t>
  </si>
  <si>
    <t>1619 6th Street NW Unit B, Washington, DC 20001</t>
  </si>
  <si>
    <t>1208 Eton Court NW Unit 1AB, Washington, DC 20007</t>
  </si>
  <si>
    <t>1900 Biltmore Street NW Unit 7, Washington, DC 20009</t>
  </si>
  <si>
    <t>1900 Biltmore Street NW Unit 6, Washington, DC 20009</t>
  </si>
  <si>
    <t>1900 Biltmore Street NW Unit 5, Washington, DC 20009</t>
  </si>
  <si>
    <t>1900 Biltmore Street NW Unit 4, Washington, DC 20009</t>
  </si>
  <si>
    <t>1900 Biltmore Street NW Unit 3, Washington, DC 20009</t>
  </si>
  <si>
    <t>1900 Biltmore Street NW Unit 2, Washington, DC 20009</t>
  </si>
  <si>
    <t>1900 Biltmore Street NW Unit 1, Washington, DC 20009</t>
  </si>
  <si>
    <t>1512 10th Street NW Unit 3, Washington, DC 20001</t>
  </si>
  <si>
    <t>1512 10th Street NW Unit 2, Washington, DC 20001</t>
  </si>
  <si>
    <t>1300 N Street NW Unit 314, Washington, DC 20005</t>
  </si>
  <si>
    <t>2027 O Street NW Unit Main, Washington, DC 20036</t>
  </si>
  <si>
    <t>2027 O Street NW Unit 1, Washington, DC 20036</t>
  </si>
  <si>
    <t>920 I Street NW Unit 1012, Washington, DC 20001</t>
  </si>
  <si>
    <t>777 7th Street NW Unit 815, Washington, DC 20001</t>
  </si>
  <si>
    <t>1901 13th Street NW Unit 1, Washington, DC 20009</t>
  </si>
  <si>
    <t>1900 Biltmore St NW Unit 2, Washington, DC 20009</t>
  </si>
  <si>
    <t>1900 Biltmore NW Unit 1, Washington, DC 20009</t>
  </si>
  <si>
    <t>3003 P St NW Unit 400, Washington, DC 20007</t>
  </si>
  <si>
    <t>3003 P St NW Unit 302, Washington, DC 20007</t>
  </si>
  <si>
    <t>3003 P St NW Unit 301, Washington, DC 20007</t>
  </si>
  <si>
    <t>3003 P St NW Unit 202, Washington, DC 20007</t>
  </si>
  <si>
    <t>1704 Q St NW, Washington, DC 20009 NW Unit 301, Washington, DC 20009</t>
  </si>
  <si>
    <t>1704 Q St NW NW Unit 202, Washington, DC 20009</t>
  </si>
  <si>
    <t>1704 Q St NW NW Unit 201, Washington, DC 20009</t>
  </si>
  <si>
    <t>1704 Q St NW, Washington, DC 20009 NW Unit 101, Washington, DC 20009</t>
  </si>
  <si>
    <t>1704 Q St NW NW Unit B1, Washington, DC 20009</t>
  </si>
  <si>
    <t>1613 30th St NW NW Unit 1, Washington, DC 20007</t>
  </si>
  <si>
    <t>106 7th Street SE Unit 1AB, Washington, DC 20003</t>
  </si>
  <si>
    <t>DNU 1521 Crcoran Street NW Unit x, Washington, DC 20009</t>
  </si>
  <si>
    <t>OLD*** DNU 1521 Corcoran Street NW Unit B, Washington, DC 20009</t>
  </si>
  <si>
    <t>OLD*** DNU 1521 Corcoran Street NW Unit A, Washington, DC 20009</t>
  </si>
  <si>
    <t>1305 Clifton Street NW Unit 1, Washington, DC 20009</t>
  </si>
  <si>
    <t>1003 P Street NW Unit A, Washington, DC 20001</t>
  </si>
  <si>
    <t>1721 S Hayes Street Unit A, Arlington, VA 22202</t>
  </si>
  <si>
    <t>1033 N.Fairfax Street NE Unit 5, Alexandria, VA 22006</t>
  </si>
  <si>
    <t>1620 15TH Street NW Unit 1, Washington, DC 20009</t>
  </si>
  <si>
    <t>1011 M Street NW Unit 403, Washington, DC 20001</t>
  </si>
  <si>
    <t>1101 3rd Street SW Unit 816, Washington, DC 20024</t>
  </si>
  <si>
    <t>1914 Biltmore Street NW Unit 1AB, Washington, DC 20009</t>
  </si>
  <si>
    <t>252 10th Street NE Unit 1AB, Washington, DC 20002</t>
  </si>
  <si>
    <t>1021 Arlington Boulevard Unit 238, Arlington, VA 22209</t>
  </si>
  <si>
    <t>1021 Arlington Boulevard Unit 846, Arlington, VA 22209</t>
  </si>
  <si>
    <t>1211 12th Street NW Unit 1, Washington, DC 20005</t>
  </si>
  <si>
    <t>SOJOURN: 1716 17th Street NW Unit 2, Washington, DC 20009</t>
  </si>
  <si>
    <t>SOJOURN: 1716 17th Street NW Unit 1, Washington, DC 20009</t>
  </si>
  <si>
    <t>1716 17th Street NW Unit 302, Washington, DC 20009</t>
  </si>
  <si>
    <t>1716 17th Street NW Unit 201, Washington, DC 20009</t>
  </si>
  <si>
    <t>1716 17th Street NW Unit 101, Washington, DC 20009</t>
  </si>
  <si>
    <t>1822 15th Street NW Unit 106, Washington, DC 20009</t>
  </si>
  <si>
    <t>2321 Ashmead Place NW Unit 3, Washington, DC 20009</t>
  </si>
  <si>
    <t>2321 Ashmead Place NW Unit 2, Washington, DC 20009</t>
  </si>
  <si>
    <t>2321 Ashmead Place NW Unit 1, Washington, DC 20009</t>
  </si>
  <si>
    <t>2019 1st Street NW Unit Main, Washington, DC 20001</t>
  </si>
  <si>
    <t>1460 Church Street NW Unit 1AB, Washington, DC 20005</t>
  </si>
  <si>
    <t>1731 R Street NW Unit 1AB, Washington, DC 20009</t>
  </si>
  <si>
    <t>1451 Park Road NW Unit 203, Washington, DC 20010</t>
  </si>
  <si>
    <t>2110 R Street NW Unit 301, Washington, DC 20009</t>
  </si>
  <si>
    <t>2110 R Street NW Unit 202, Washington, DC 20009</t>
  </si>
  <si>
    <t>2110 R Street NW Unit 201, Washington, DC 20009</t>
  </si>
  <si>
    <t>2110 R Street NW Unit 102, Washington, DC 20009</t>
  </si>
  <si>
    <t>2110 R Street NW Unit 101, Washington, DC 20009</t>
  </si>
  <si>
    <t>1121 24th Street NW Unit 300, Washington, DC 20037</t>
  </si>
  <si>
    <t>621 North Carolina Ave SE Unit 1AB, Washington, DC 20003</t>
  </si>
  <si>
    <t>2531 Q Street NW Unit 203, Washington, DC 20007</t>
  </si>
  <si>
    <t>2141 Wisconsin Ave NW Unit 103, Washington, DC 20007</t>
  </si>
  <si>
    <t>619 P Street NW Unit 1AB, Washington, Dc 20005</t>
  </si>
  <si>
    <t>1458 Church Street NW Unit A, Washington, DC 20005</t>
  </si>
  <si>
    <t>1458 Church Street NW Unit B, Washington, DC 20005</t>
  </si>
  <si>
    <t>1458 Church Street NW Unit C, Washington, DC 20005</t>
  </si>
  <si>
    <t>400 Seward Square SE Unit 22, Washington, Dc 20003</t>
  </si>
  <si>
    <t>1925 12th St NW Unit 1AB, Washington, DC 20009</t>
  </si>
  <si>
    <t>1822 15th Street NW Unit 307, Washington, DC 20009</t>
  </si>
  <si>
    <t>1777 T Street NW Unit 3, Washington, DC 20009</t>
  </si>
  <si>
    <t>1613 30th St NW Unit 1AB, Washington, DC 20007</t>
  </si>
  <si>
    <t>1423 R St NW Unit 205, Washington, DC 20009</t>
  </si>
  <si>
    <t>1777 T Street NW Unit 2, Washington, DC 20009</t>
  </si>
  <si>
    <t>1777 T St NW NW Unit 1, Washington, DC 20009</t>
  </si>
  <si>
    <t>1121 N Stuart street Unit A, Arlington, VA 22201</t>
  </si>
  <si>
    <t>2633 16th St NW Unit Apt 2B, Washington, DC 20009</t>
  </si>
  <si>
    <t>907 3rd Place SE Unit 1AB, Washington, DC 20003</t>
  </si>
  <si>
    <t>1010 1/2 F Street NE Unit 1AB, Washington, DC 20002</t>
  </si>
  <si>
    <t>1718 P Street NW Unit 609, Washington, DC 20036</t>
  </si>
  <si>
    <t>400 Seward Square SE Unit B3, Washington, DC 20003</t>
  </si>
  <si>
    <t>400 Seward Square SE Unit B2, Washington, DC 20003</t>
  </si>
  <si>
    <t>400 Seward Square SE Unit 1, Washington, DC 20003</t>
  </si>
  <si>
    <t>1409 Hopkins Street NW Unit 4, Washington, DC 20036</t>
  </si>
  <si>
    <t>1409 Hopkins Street NW Unit 3, Washington, DC 20036</t>
  </si>
  <si>
    <t>1409 Hopkins Street NW Unit 2, Washington, DC 20036</t>
  </si>
  <si>
    <t>1409 Hopkins Street NW Unit 1, Washington, DC 20036</t>
  </si>
  <si>
    <t>DNU 1409 Hopkins Street NW Unit 1, Washington, DC 20009</t>
  </si>
  <si>
    <t>420 Walker Court SE Unit B, Washington, DC 20003</t>
  </si>
  <si>
    <t>DNU 420 Walker Court SE Unit Apt - B, Washington, DC 20003</t>
  </si>
  <si>
    <t>1101 3rd Street SW Unit 401, Washington, DC 20024</t>
  </si>
  <si>
    <t>2706 36th Street NW Unit 1AB, Washington, DC 20007</t>
  </si>
  <si>
    <t>1421 Q Street NW Unit 3, Washington, DC 20005</t>
  </si>
  <si>
    <t>1421 Q Street NW Unit 2, Washington, DC 20005</t>
  </si>
  <si>
    <t>1724 17th Street NW Unit 46, Washington, DC 20009</t>
  </si>
  <si>
    <t>1441 Florida Avenue NW Unit 4, Washington, DC 20009</t>
  </si>
  <si>
    <t>DNU 1310 Kingman Alley NW Unit 1AB, Washington, DC 20009</t>
  </si>
  <si>
    <t>1250 4th Street SW Unit 708, Washington, DC 20024</t>
  </si>
  <si>
    <t>908 Princess Street - Parking Unit 1AB, Alexandria, VA 22314</t>
  </si>
  <si>
    <t>427 7th Street SE Unit 1, Washington, DC 20003</t>
  </si>
  <si>
    <t>412 N. Henry Street Unit 1AB, Alexandria, VA 22314</t>
  </si>
  <si>
    <t>2711 Jefferson Davis Hwy Unit 100, arlingotn, va 22202</t>
  </si>
  <si>
    <t>2808 McKinley Place NW Unit 1AB, Washington, DC 20016</t>
  </si>
  <si>
    <t>Friendship Heights</t>
  </si>
  <si>
    <t>2301 N Street NW Unit 606, Washington, DC 20037</t>
  </si>
  <si>
    <t>117 S Street NW Unit Garden Unit, Washington, DC 20009</t>
  </si>
  <si>
    <t>1312 C Street SE Unit 1AB, Washington, DC 20003</t>
  </si>
  <si>
    <t>208 11th Street SE Unit B, Washington, DC 20003</t>
  </si>
  <si>
    <t>1111 19th Street N Unit 1608, Arlington, VA 22209</t>
  </si>
  <si>
    <t>208 11th Street SE Unit Main, Washington, DC 20003</t>
  </si>
  <si>
    <t>811 4th Street NW Unit 1011, Washington, DC 20001</t>
  </si>
  <si>
    <t>2136 O Street NW Unit 4, Washington, DC 20037</t>
  </si>
  <si>
    <t>2136 O Street NW Unit 3, Washington, DC 20036</t>
  </si>
  <si>
    <t>149 D Street SE Unit 1AB, Washington, DC 20003</t>
  </si>
  <si>
    <t>11 Dupont Circle NW Unit 1AB, Washington, DC 20009</t>
  </si>
  <si>
    <t>3711 Winfield Lane NW Unit 1AB, Washington, DC 20007</t>
  </si>
  <si>
    <t>2136 O Street NW Unit 1, Washington, DC 20037</t>
  </si>
  <si>
    <t>1621 T Street NW Unit 301, Washington, DC 20009</t>
  </si>
  <si>
    <t>630 F Street NE Unit 2, Washington, DC 20002</t>
  </si>
  <si>
    <t>236 G Street NE Unit 1AB, Washington, DC 20002</t>
  </si>
  <si>
    <t>400 Massachusetts Avenue NW Unit 805, Washington, DC 20001</t>
  </si>
  <si>
    <t>3333 N Street NW Unit 1, Washington, DC 20007</t>
  </si>
  <si>
    <t>1816 Kalorama Road NW Unit 102, Washington, DC 20009</t>
  </si>
  <si>
    <t>1828 Riggs Place NW Unit 22, Washington, DC 20009</t>
  </si>
  <si>
    <t>1704 Q Street NW Unit 2, Washington, DC 20009</t>
  </si>
  <si>
    <t>1704 Q Street NW Unit DELETE, Washington, DC 20009</t>
  </si>
  <si>
    <t>1704 Q Street NW Unit Main House, Washington, DC 20009</t>
  </si>
  <si>
    <t>10109 Garden Way Unit 1AB, Potomac, MD 20854</t>
  </si>
  <si>
    <t>1300 N Street NW Unit 613, Washington, DC 20005</t>
  </si>
  <si>
    <t>Delete Me NW Unit 1AB, Washington, DC 20005</t>
  </si>
  <si>
    <t>1918 18th Street NW Unit 34, Washington, DC 20009</t>
  </si>
  <si>
    <t>125 North Carolina Avenue SE Unit 1AB, Washington, DC 20003</t>
  </si>
  <si>
    <t>1916 17th St NW Unit 310, Washington, DC 20009</t>
  </si>
  <si>
    <t>619 North Carolina Ave SE Unit 1AB, Washington, DC 20003</t>
  </si>
  <si>
    <t>1736 18th Street NW Unit 204, Washington, DC 20009</t>
  </si>
  <si>
    <t>1901 13th Street NW Unit 9, Washington, DC 20009</t>
  </si>
  <si>
    <t>1713 22nd Street NW Unit 1AB, Washington, DC 20008</t>
  </si>
  <si>
    <t>3818 Klingle Place NW Unit 1AB, Washington, DC 20016</t>
  </si>
  <si>
    <t>1326 Vermont Ave NW Unit 4, Washington, DC 20002</t>
  </si>
  <si>
    <t>116 North Carolina Avenue SE Unit 103, Washington, DC 20003</t>
  </si>
  <si>
    <t>1111 19th Street N Unit 2405, Arlington, VA 22209</t>
  </si>
  <si>
    <t>819 6th Street NW Unit 4, Washington, DC 20001</t>
  </si>
  <si>
    <t>819 6th Street NW Unit 3, Washington, DC 20001</t>
  </si>
  <si>
    <t>161 Kentucky Ave SE Unit 1AB, Washington, DC 20003</t>
  </si>
  <si>
    <t>4801 Fairmont Ave Unit 513, Bethesda, MD 20814</t>
  </si>
  <si>
    <t>1324 Newton Street NE Unit Unit B, Washington, DC 20017</t>
  </si>
  <si>
    <t>301 Massachusetts Avenue NW Unit 807, Washington, DC 20001</t>
  </si>
  <si>
    <t>1451 Park Rd NW Unit 107, Washington, DC 20010</t>
  </si>
  <si>
    <t>1531 S Street NW Unit Main, Washington, DC 20009</t>
  </si>
  <si>
    <t>1531 S Street - Main NW Unit 1AB, Washington, DC 20009</t>
  </si>
  <si>
    <t>322 4th Street SE Unit B, Washington, DC 20003</t>
  </si>
  <si>
    <t>322 4th Street SE Unit Main, Washington, DC 20003</t>
  </si>
  <si>
    <t>3618 T Street NW Unit 1AB, Washington, DC 20007</t>
  </si>
  <si>
    <t>1900 S Street NW Unit 1, Washington, DC 20009</t>
  </si>
  <si>
    <t>1817 Riggs Place NW Unit 1, Washington, DC 20009</t>
  </si>
  <si>
    <t>1634-1/2 Riggs Pl NW Unit 1AB, Washington, DC 20009</t>
  </si>
  <si>
    <t>1601 18th Street NW Unit 801, Washington, DC 20009</t>
  </si>
  <si>
    <t>5 Walter Houpe Ct NE Unit 1AB, Washington, DC 20002</t>
  </si>
  <si>
    <t>1006 East Capitol Street NE Unit Main, Washington, DC 20003</t>
  </si>
  <si>
    <t>1419 R Street NW Unit 50, Washington, DC 20009</t>
  </si>
  <si>
    <t>1761 Church St NW Unit Main, Washington, DC 20036</t>
  </si>
  <si>
    <t>1010 South Carolina Ave SE Unit 3, Washington, DC 20003</t>
  </si>
  <si>
    <t>1010 South Carolina Ave SE Unit 2, Washington, DC 20003</t>
  </si>
  <si>
    <t>1010 South Carolina Ave SE Unit 1, Washington, DC 20003</t>
  </si>
  <si>
    <t>1520 16th Street NW Unit 301, Washington, DC 20036</t>
  </si>
  <si>
    <t>1101 3rd Street SW Unit 713, Washington, DC 20024</t>
  </si>
  <si>
    <t>1105 D Street NE Unit 1AB, Washington, DC 20002</t>
  </si>
  <si>
    <t>1871 California Street NW Unit 4, Washington, DC 20009</t>
  </si>
  <si>
    <t>925 H Street NW Unit 1004, Washington, DC 20001</t>
  </si>
  <si>
    <t>1514 Newton Street NW Unit 302, Washington, DC 20010</t>
  </si>
  <si>
    <t>526 5th Street SE Unit 304, Washington, DC 20001</t>
  </si>
  <si>
    <t>1600 Pennsylvania Ave NW Unit 1AB, Washington, DC 20500</t>
  </si>
  <si>
    <t>2050 Jamieson Avenue Unit 1306, Alexandria, VA 22314</t>
  </si>
  <si>
    <t>1615 Princess Unit 1, Alexandria, VA 22314</t>
  </si>
  <si>
    <t>1811 Riggs Place NW Unit 1, Washington, DC 20009</t>
  </si>
  <si>
    <t>114 N Union Street Unit 1AB, Alexandria, VA 22314</t>
  </si>
  <si>
    <t>1314 13th Street NW Unit B, Washington, DC 20009</t>
  </si>
  <si>
    <t>1805 Florida Avenue NW Unit 1AB, Washington, DC 20009</t>
  </si>
  <si>
    <t>1912 S Street NW Unit 4, Washington, DC 20009</t>
  </si>
  <si>
    <t>1769 T Street NW Unit 1, Washington, DC 20009</t>
  </si>
  <si>
    <t>509 6th Street NE Unit 1AB, Washington, DC 20002</t>
  </si>
  <si>
    <t>1111 19th Street N Unit 2209, Arlington, VA 22209</t>
  </si>
  <si>
    <t>1270 New Hampshire Avenue NW Unit 1AB, Washington, DC 20036</t>
  </si>
  <si>
    <t>2110 R Street NW Unit B1, Washington, DC 20009</t>
  </si>
  <si>
    <t>2110 R Street NW Unit 2, Washington, DC 20009</t>
  </si>
  <si>
    <t>2110 R Street NW Unit 3, Washington, DC 20008</t>
  </si>
  <si>
    <t>235 8th Street SE Unit 1AB, Washington, DC 20003</t>
  </si>
  <si>
    <t>2110 R Street NW Unit 4, Washington, DC 20008</t>
  </si>
  <si>
    <t>2019 1st Street NW Unit 1, Washington, DC 20001</t>
  </si>
  <si>
    <t>1724 21st Street NW Unit 4, Washington, DC 20009</t>
  </si>
  <si>
    <t>1724 21st Street NW Unit 3, Washington, DC 20009</t>
  </si>
  <si>
    <t>1724 21st Street NW Unit 2, Washington, DC 20009</t>
  </si>
  <si>
    <t>1724 21st Street NW Unit 1, Washington, DC 20009</t>
  </si>
  <si>
    <t>503 N Payne Street Unit 1AB, Alexandria, VA 22314</t>
  </si>
  <si>
    <t>2550 28th Street NW Unit 1AB, Washington, DC 20008</t>
  </si>
  <si>
    <t>1009 9th Street NE Unit 1AB, Washington, DC 20002</t>
  </si>
  <si>
    <t>908 Princess Street - House Unit 1AB, Alexandria, VA 22314</t>
  </si>
  <si>
    <t>1511 34th Street NW Unit 1AB, Washington, DC 20007</t>
  </si>
  <si>
    <t>321 Sample Property Unit 1AB, Washington, DC 00000</t>
  </si>
  <si>
    <t>1822 Biltmore Street NW Unit B, Washington, DC 20009</t>
  </si>
  <si>
    <t>1420 South Walter Reed Dr. Unit 1AB, Arlington, VA 22204</t>
  </si>
  <si>
    <t>777 7th Street NW Unit 322, Washington, DC 20001</t>
  </si>
  <si>
    <t>2407-1/2 20th Street NW Unit 1096, Washington, DC 20009</t>
  </si>
  <si>
    <t>1811 Riggs Place NW Unit B, Washington, DC 20009</t>
  </si>
  <si>
    <t>2107 S Street NW Unit L, Washington, DC 20008</t>
  </si>
  <si>
    <t>1822 Biltmore Street NW Unit C, Washington, DC 20009</t>
  </si>
  <si>
    <t>1822 Biltmore Street NW Unit A, Washington, DC 20009</t>
  </si>
  <si>
    <t>2438 39th Place NW Unit 1AB, Washington, DC 20007</t>
  </si>
  <si>
    <t>1516 10th Street NW Unit 202, Washington, DC 20001</t>
  </si>
  <si>
    <t>5101 River Road Unit 409, Bethesda, MD 20816</t>
  </si>
  <si>
    <t>1000 New Jersey Avenue SE Unit 1110, Washington, DC 20003</t>
  </si>
  <si>
    <t>1000 New Jersey Avenue SE Unit 818, Washington, DC 20003</t>
  </si>
  <si>
    <t>2014 Hillyer Place (DUPLICATE) NW Unit 1AB, Washington, DC 20009</t>
  </si>
  <si>
    <t>1621 N Colonial Terrace Unit 1, Arlington, VA 22209</t>
  </si>
  <si>
    <t>5235 Western Avenue NW Unit 1AB, Washington, DC 20015</t>
  </si>
  <si>
    <t>221 8th Street SE Unit 1AB, Washington, DC 20003</t>
  </si>
  <si>
    <t>1474 Belmont Avenue NW Unit 1, Washington, DC 20009</t>
  </si>
  <si>
    <t>1740 T Street NW Unit #1, Washington, DC 20009</t>
  </si>
  <si>
    <t>1725 Seaton Street NW Unit 1AB, Washington, DC 20009</t>
  </si>
  <si>
    <t>1930 18th Street NW Unit 3, Washington, DC 20009</t>
  </si>
  <si>
    <t>2127 California Street NW Unit 604, Washington, DC 20008</t>
  </si>
  <si>
    <t>2014 Hillyer Place NW Unit 1AB, Washington, DC 20009</t>
  </si>
  <si>
    <t>427 7th Street SE Unit 3, Washington, DC 20003</t>
  </si>
  <si>
    <t>1205 C Street NE Unit 1AB, Washington, DC 20002</t>
  </si>
  <si>
    <t>1112 D Street SE Unit 1AB, Washington, DC 20003</t>
  </si>
  <si>
    <t>1794 Lanier Place NW Unit 203, Washington, DC 20009</t>
  </si>
  <si>
    <t>777 7th Street NW Unit 723, Washington, DC 20001</t>
  </si>
  <si>
    <t>800 4th Street SW Unit N423, Washington, DC 20024</t>
  </si>
  <si>
    <t>1704 T Street NW Unit 302, Washington, DC 20009</t>
  </si>
  <si>
    <t>1900 S Street NW Unit 403, Washington, DC 20009</t>
  </si>
  <si>
    <t>2910 R Street NW Unit 1AB, Washington, DC 20007</t>
  </si>
  <si>
    <t>1250 4th Street SW Unit W608, Washington, DC 20024</t>
  </si>
  <si>
    <t>1301 N Courthouse Road Unit 1511, Arlington, VA 22201</t>
  </si>
  <si>
    <t>777 7th Street NW Unit 810, Washington, DC 20001</t>
  </si>
  <si>
    <t>1723 P Street NW Unit #T3, Washington, DC 20036</t>
  </si>
  <si>
    <t>1434 T Street NW Unit Rear, Washington, DC 20009</t>
  </si>
  <si>
    <t>2106 O Street NW Unit 2, Washington, DC 20037</t>
  </si>
  <si>
    <t>1730 New Hampshire Avenue NW Unit 14, Washington, DC 20009</t>
  </si>
  <si>
    <t>2316 18th Street NW Unit 1, Washington, DC 20009</t>
  </si>
  <si>
    <t>555 Massachusetts Avenue NW Unit 1216, Washington, DC 20001</t>
  </si>
  <si>
    <t>451 M Street NW Unit 1, Washington, DC 20001</t>
  </si>
  <si>
    <t>1416 A Street NE Unit 1AB, Washington, DC 20002</t>
  </si>
  <si>
    <t>1006 East Capitol Street NE Unit 1, Washington, DC 20003</t>
  </si>
  <si>
    <t>1761 Church Street NW Unit 1, Washington, DC 20036</t>
  </si>
  <si>
    <t>4801 Fairmont Avenue Unit 908, Bethesda, MD 20814</t>
  </si>
  <si>
    <t>1736 Willard Street NW Unit 301, Washington, DC 20009</t>
  </si>
  <si>
    <t>922 24th Street NW Unit 705, Washington, DC 20037</t>
  </si>
  <si>
    <t>400 Massachusetts Avenue NW Unit 1011, Washington, DC 20001</t>
  </si>
  <si>
    <t>1401 R Street NW Unit 308, Washington, DC 20009</t>
  </si>
  <si>
    <t>1411 N Street NW Unit 1, Washington, DC 20005</t>
  </si>
  <si>
    <t>1300 N Street NW Unit 416, Washington, DC 20005</t>
  </si>
  <si>
    <t>1601 18th Street NW Unit 815, Washington, DC 20009</t>
  </si>
  <si>
    <t>1930 Biltmore Street NW Unit 300, Washington, DC 20009</t>
  </si>
  <si>
    <t>2829 Connecticut Ave NW Unit 702, Washington, DC 20008</t>
  </si>
  <si>
    <t>2725 Connecticut Avenue NW Unit 209, Washington, DC 20009</t>
  </si>
  <si>
    <t>1729 Riggs Place NW Unit 2, Washington, DC 20009</t>
  </si>
  <si>
    <t>1936 15th Street NW Unit 2, Washington, DC 20009</t>
  </si>
  <si>
    <t>4251 Vacation Lane Unit 1AB, Arlington, VA 22207</t>
  </si>
  <si>
    <t>2017 N Street NW Unit 1AB, Washington, DC 20036</t>
  </si>
  <si>
    <t>517 F Street NE Unit 1AB, Washington, DC 20002</t>
  </si>
  <si>
    <t>1901 Parkside Drive NW Unit 1AB, Washington, DC 20012</t>
  </si>
  <si>
    <t>1375 Maryland Avenue NE Unit Loft H, Washington, DC 20009</t>
  </si>
  <si>
    <t>2301 N Street NW Unit 712, Washington, DC 20036</t>
  </si>
  <si>
    <t>777 7th Street NW Unit 814, Washington, DC 20001</t>
  </si>
  <si>
    <t>19 T Street NW Unit 1AB, Washington, DC 20001</t>
  </si>
  <si>
    <t>1121 Arlington Boulevard Unit 419, Arlington, VA 22209</t>
  </si>
  <si>
    <t>1910 T Street NW Unit 1, Washington, DC 20009</t>
  </si>
  <si>
    <t>1936 15th Street NW Unit 1, Washington, DC 20009</t>
  </si>
  <si>
    <t>1001 N Randolph Street Unit 914, Arlington, VA 22201</t>
  </si>
  <si>
    <t>2130 N Street NW Unit 207, Washington, DC 20037</t>
  </si>
  <si>
    <t>2125 14th Street NW NW Unit 617, Washington, DC 20009</t>
  </si>
  <si>
    <t>1801 16th Street NW Unit 203, Washington, DC 20009</t>
  </si>
  <si>
    <t>2130 N Street NW Unit 410, Washington, DC 20037</t>
  </si>
  <si>
    <t>1833 S Street NW NW Unit #30, Washington, DC 20009</t>
  </si>
  <si>
    <t>411 1st Street SE Unit 1AB, Washington, DC 20003</t>
  </si>
  <si>
    <t>701 19th Street Unit 1AB, Arlington, VA 22202</t>
  </si>
  <si>
    <t>621 C Street NE Unit 2, Washington, DC 20002</t>
  </si>
  <si>
    <t>400 Massachusetts Ave NW Unit 220, Washington, DC 20001</t>
  </si>
  <si>
    <t>3030 O Street Apt B NW Unit 1AB, Washington, DC 20007</t>
  </si>
  <si>
    <t>2009 Columbia Road NW Unit 8, Washington, DC 20009</t>
  </si>
  <si>
    <t>1916 17th Street NW Unit 103, Washington, DC 20009</t>
  </si>
  <si>
    <t>1001 L Street NW Unit 407, Washington, DC 20001</t>
  </si>
  <si>
    <t>621 C Street NE Unit 1, Washington, DC 20002</t>
  </si>
  <si>
    <t>832 Snowden Hallowell Way Unit 1AB, Alexandria, VA 22314</t>
  </si>
  <si>
    <t>2009 Columbia Road NW Unit 1, Washington, DC 20009</t>
  </si>
  <si>
    <t>2035 13th Street NW Unit 2, Washington, DC 20009</t>
  </si>
  <si>
    <t>REJECTED R Street NW Unit 302, Washington, DC 20009</t>
  </si>
  <si>
    <t>1168 25th Street NW Unit 1AB, Washington, DC 20037</t>
  </si>
  <si>
    <t>1512 10th Street NW Unit 4, Washington, DC 20001</t>
  </si>
  <si>
    <t>1512 10th - To Be Removed Unit #4, Washington, DC 20001</t>
  </si>
  <si>
    <t>777 7th Street NW Unit 1008, Washington, DC 20001</t>
  </si>
  <si>
    <t>1300 N Street NW Unit 317, Washington, DC 20005</t>
  </si>
  <si>
    <t>116 N Union St Unit 1AB, Alexandria, VA 22314</t>
  </si>
  <si>
    <t>2500 N Van Dorn Street Unit 1527, Alexandria, VA 22302</t>
  </si>
  <si>
    <t>1434 T Street NW Unit Main, Washington, DC 20009</t>
  </si>
  <si>
    <t>2025 Kalorama Road NW Unit 2, Washington, DC 20009</t>
  </si>
  <si>
    <t>5155 Nebraska Ave NW Unit 1AB, Washington, DC 20008</t>
  </si>
  <si>
    <t>1800 R Street NW Unit 304, Washington, DC 20009</t>
  </si>
  <si>
    <t>1854 Mintwood Place NW Unit 1AB, Washington, DC 20009</t>
  </si>
  <si>
    <t>917 Constitution Ave NE Unit 1, Washington, DC 20002</t>
  </si>
  <si>
    <t>917 Constitution Ave NE Unit Main, Washington, DC 20002</t>
  </si>
  <si>
    <t>1450 Church Street NW Unit 201, Washington, DC 20005</t>
  </si>
  <si>
    <t>901 N. Monroe Street Unit 308, Arlington, VA 22201</t>
  </si>
  <si>
    <t>14 3rd Street SE Unit 3, Washington, DC 20002</t>
  </si>
  <si>
    <t>14 3rd Street SE SE Unit apt 1, Washington, DC 20002</t>
  </si>
  <si>
    <t>422 5th St NE Unit 1AB, Washington, DC 20002</t>
  </si>
  <si>
    <t>1800 19th Street NW Unit 9, Washington, DC 20009</t>
  </si>
  <si>
    <t>1800 19th Street NW Unit 8, Washington, DC 20009</t>
  </si>
  <si>
    <t>1800 19th Street NW Unit 7, Washington, DC 20009</t>
  </si>
  <si>
    <t>1800 19th Street NW Unit 6, Washington, DC 20009</t>
  </si>
  <si>
    <t>1800 19th Street NW Unit 5, Washington, DC 20009</t>
  </si>
  <si>
    <t>1800 19th Street NW Unit 3, Washington, DC 20009</t>
  </si>
  <si>
    <t>1800 19th Street NW Unit 2, Washington, DC 20009</t>
  </si>
  <si>
    <t>1800 19th Street NW Unit 4, Washington, DC 20009</t>
  </si>
  <si>
    <t>1800 19th Street NW Unit 1, Washington, DC 20009</t>
  </si>
  <si>
    <t>4530 Lowell Street NW Unit 1AB, Washington, DC 20016</t>
  </si>
  <si>
    <t>1604 19th Street NW Unit B, Washington, DC 20036</t>
  </si>
  <si>
    <t>1080 Wisconsin Avenue NW Unit 2010, Washington, DC 20007</t>
  </si>
  <si>
    <t>1925 16th St NW Unit 302, Washington, DC 20009</t>
  </si>
  <si>
    <t>14 3rd Street SE Unit 4, Washington, DC 20003</t>
  </si>
  <si>
    <t>14 3rd Street SE Unit 2, Washington, DC 20003</t>
  </si>
  <si>
    <t>1312 Massachusetts Avenue NW Unit 505, Washington, DC 20005</t>
  </si>
  <si>
    <t>130 F St SE Unit 1AB, Washington, DC 20003</t>
  </si>
  <si>
    <t>2114 Bancroft Place NW Unit Rear, Washington, DC 20008</t>
  </si>
  <si>
    <t>825 F Street NE Unit 1AB, Washington, DC 20002</t>
  </si>
  <si>
    <t>2028 16th St NW Unit 2, Washington, DC 20009</t>
  </si>
  <si>
    <t>800 4th Street SW Unit N225, Washington, DC 20024</t>
  </si>
  <si>
    <t>1625 19th St NW Unit 1AB, Washington, DC 20009</t>
  </si>
  <si>
    <t>1323 East Capitol Unit 1AB, Washington, DC 20003</t>
  </si>
  <si>
    <t>1323 East Capitol Street SE Unit 1AB, Washington, DC 20003</t>
  </si>
  <si>
    <t>1880 Columbia Rd NW Unit 204, Washington, DC 20009</t>
  </si>
  <si>
    <t>1529 14th Street, NW Unit 505, Washington, DC 20005</t>
  </si>
  <si>
    <t>2130 N Street NW Unit 303, Washington, DC 20037</t>
  </si>
  <si>
    <t>2120 Vermont Ave NW Unit #202, Washington, DC 20001</t>
  </si>
  <si>
    <t>1706 S Street NW Unit 5, Washington, DC 20009</t>
  </si>
  <si>
    <t>643 F Street NE Unit 1AB, Washington, DC 20002</t>
  </si>
  <si>
    <t>1935 17th St NW Unit 4, Washington, DC 20009</t>
  </si>
  <si>
    <t>565 Pennsylvania Ave NW Unit 802, Washington, DC 20001</t>
  </si>
  <si>
    <t>3901 Connecticut Avenue NW Unit 302, Washington, DC 20008</t>
  </si>
  <si>
    <t>800 4th Street SW Unit S-107, Washington, DC 20024</t>
  </si>
  <si>
    <t>1016 S. Wayne Street, Unit #608,, Arlington, VA 22204</t>
  </si>
  <si>
    <t>1316 New Hampshire Ave NW Unit 504, Washington, DC 20036</t>
  </si>
  <si>
    <t>2022 Columbia Rd NW Unit 709, Washington, DC 20009</t>
  </si>
  <si>
    <t>3030 O Street NW Unit 1AB, Washington, DC 20007</t>
  </si>
  <si>
    <t>601 24th Street, NW, Unit #905,, Washington, DC 20037</t>
  </si>
  <si>
    <t>1276 N Wayne Street Unit 1AB, Arlington, VA 22201</t>
  </si>
  <si>
    <t>1101 3rd Street SW Unit 711, Washington, DC 20024</t>
  </si>
  <si>
    <t>2201 K Street NW Unit 4, Washington, DC 20037</t>
  </si>
  <si>
    <t>13 9th Street, SE, Unit 1AB, Washington, DC 20003</t>
  </si>
  <si>
    <t>1415 21st Street NW Unit 2A, Washington, DC 20036</t>
  </si>
  <si>
    <t>765 3rd Street NE Unit 1AB, Washington, DC 20002</t>
  </si>
  <si>
    <t>1830 17th Street NW Unit 204, Washington, DC 20009</t>
  </si>
  <si>
    <t>2107 N Scott Street Unit 65, Arlington, VA 22209</t>
  </si>
  <si>
    <t>1239 Vermont Avenue NW Unit 501, Washington, DC 20005</t>
  </si>
  <si>
    <t>1334 Belmont Street, Unit #1,, Washington, DC 20009</t>
  </si>
  <si>
    <t>140 12th Street, SE, Unit 1AB, Washington, DC 20003</t>
  </si>
  <si>
    <t>1080 Wisconsin Avenue NW Unit 2015, Washington, DC 20007</t>
  </si>
  <si>
    <t>1010 Massachusetts Avenue NW Unit PH-106, Washington, DC 20001</t>
  </si>
  <si>
    <t>1600 Q Street NW Unit 4, Washington, DC 20009</t>
  </si>
  <si>
    <t>1613 Harvard Street NW Unit 102, Washington, DC 20009</t>
  </si>
  <si>
    <t>2133 R Street, NW, Unit 1AB, Washington, DC 20008</t>
  </si>
  <si>
    <t>777 7th Street NW Unit 430, Washington, DC 20001</t>
  </si>
  <si>
    <t>2272 S Garfield Street Unit 1AB, Arlington, VA 22206</t>
  </si>
  <si>
    <t>1842 Mintwood Place NW Unit 7, Washington, DC 20009</t>
  </si>
  <si>
    <t>1225 N Street, NW, Unit #A,, Washington, DC 20005</t>
  </si>
  <si>
    <t>1229 12th Street, NW, Unit #202,, Washington, DC 20005</t>
  </si>
  <si>
    <t>1610 15th Street NW Unit 3, Washington, DC 20009</t>
  </si>
  <si>
    <t>3032 O Street, NW, Unit 1AB, Washington, DC 20007</t>
  </si>
  <si>
    <t>1760 Swann Street, NW, Unit #1,, Washington, DC 20009</t>
  </si>
  <si>
    <t>1325 13th Street NW Unit 105, Washington, DC 20005</t>
  </si>
  <si>
    <t>1000 New Jersey Ave SE Unit 819, Washington, DC 20003</t>
  </si>
  <si>
    <t>18 7th Street, NE, Unit (Carriage House),, Washington, DC 20002</t>
  </si>
  <si>
    <t>1018 Florida Ave NE Unit 201, Washington, DC 20002</t>
  </si>
  <si>
    <t>1101 N Taylor St Unit 1AB, Arlington, VA 22201</t>
  </si>
  <si>
    <t>2515 K Street NW Unit 211, Washington, DC 20037</t>
  </si>
  <si>
    <t>908 Princess Street, Carriage House Unit 1AB, Alexandria, VA 22314</t>
  </si>
  <si>
    <t>555 Massachusetts Avenue NW Unit 903, Washington, DC 20001</t>
  </si>
  <si>
    <t>2400 M Street, NW, Unit #935,, Washington, DC 20037</t>
  </si>
  <si>
    <t>1604 19th Street NW Unit 6 - Lola's Room, Washington, DC 20009</t>
  </si>
  <si>
    <t>1604 19th Street NW Unit 5 - Moroccan Room, Washington, DC 20009</t>
  </si>
  <si>
    <t>1604 19th Street NW Unit 4 - Canopy Room, Washington, DC 20009</t>
  </si>
  <si>
    <t>1604 19th Street NW Unit 2 - Cuban Room, Washington, DC 20009</t>
  </si>
  <si>
    <t>1715 15th Street, NW, Unit #36, Washington, DC 20009</t>
  </si>
  <si>
    <t>1920 S Street NW Unit 601, Washington, DC 20009</t>
  </si>
  <si>
    <t>1219 Q Street, NW, Unit 1AB, Washington, DC 20005</t>
  </si>
  <si>
    <t>1391 Pennsylvania Avenue, SE, Unit #252,, Washington, DC 20003</t>
  </si>
  <si>
    <t>939 O Street, NW, Unit 1AB, Washington, DC 20001</t>
  </si>
  <si>
    <t>1604 19th Street NW Unit 3 - Lincoln Room, Washington, DC 20009</t>
  </si>
  <si>
    <t>1604 19th Street NW Unit 1 - Victorian Room, Washington, DC 20009</t>
  </si>
  <si>
    <t>4110 Garrison Street NW Unit 1AB, Washington, DC 20016</t>
  </si>
  <si>
    <t>5308 MacArthur Boulevard NW Unit 1AB, Washington, DC 20016</t>
  </si>
  <si>
    <t>1900 S Street NW Unit 303, Washington, DC 20009</t>
  </si>
  <si>
    <t>1606 19th St NW Unit 1AB, Washington, DC 20036</t>
  </si>
  <si>
    <t>2201 L St NW Unit 802, Washington, DC 20037</t>
  </si>
  <si>
    <t>555 Massachusetts Avenue NW Unit 1202, Washington, DC 20001</t>
  </si>
  <si>
    <t>777 7th Street NW Unit 1124, Washington, DC 20001</t>
  </si>
  <si>
    <t>1101 P Street NW Unit 2R, Washington, DC 20005</t>
  </si>
  <si>
    <t>5417 Lambeth Road, Unit 1AB, Bethesda, MD 20814</t>
  </si>
  <si>
    <t>1715 15th St NW Unit 16, Washington, DC 20009</t>
  </si>
  <si>
    <t>1101 3rd Street SW Unit 411, Washington, DC 20024</t>
  </si>
  <si>
    <t>1854 Mintwood Place NW Unit 11, Washington, DC 20009</t>
  </si>
  <si>
    <t>1008 East Capitol Street NE Unit 1AB, Washington, DC 20003</t>
  </si>
  <si>
    <t>1000 New Jersey Avenue SE Unit 518, Washington, DC 20003</t>
  </si>
  <si>
    <t>2127 -1/2 Newport St NW Unit 1AB, Washington, DC 20037</t>
  </si>
  <si>
    <t>3818 Beecher St NW Unit 1AB, Washington, DC 20007</t>
  </si>
  <si>
    <t>1615 Q Street NW Unit 910, Washington, DC 20009</t>
  </si>
  <si>
    <t>1822 15th Street NW Unit 303, Washington, DC 20009</t>
  </si>
  <si>
    <t>2431 Ontario Road, NW, Unit #2,, Washington, DC 20009</t>
  </si>
  <si>
    <t>1718 P Street NW Unit 617, Washington, DC 20036</t>
  </si>
  <si>
    <t>4191 S Four Mile Run Drive Unit 304, Arlington, VA 22204</t>
  </si>
  <si>
    <t>915 E Street NW Unit 709, Washington, DC 20004</t>
  </si>
  <si>
    <t>1764 U Street, NW, Unit #1,, Washington, DC 20009</t>
  </si>
  <si>
    <t>1822 15th Street NW Unit 302, Washington, DC 20009</t>
  </si>
  <si>
    <t>2141 P Street NW Unit 410, Washington, DC 20037</t>
  </si>
  <si>
    <t>2444 Ontario Rd NW Unit #1, Washington, DC 20009</t>
  </si>
  <si>
    <t>1872 California St NW Unit 1AB, Washington, DC 20009</t>
  </si>
  <si>
    <t>1625 Q St NW Unit 205, Washington, DC 20036</t>
  </si>
  <si>
    <t>1248 Irving St NW Unit #1, Washington, DC 20010</t>
  </si>
  <si>
    <t>425 7th Street SE Unit 1AB, Washington, DC 20003</t>
  </si>
  <si>
    <t>1816 15th ST NW Unit 1AB, Washington, DC 20009</t>
  </si>
  <si>
    <t>612 South Garfield Street, Unit 1AB, Arlington, VA 22204</t>
  </si>
  <si>
    <t>1336 Corcoran Street, NW, Unit #B,, Washington, DC 20005</t>
  </si>
  <si>
    <t>18 7th Street NE Unit 1AB, Washington, DC 20002</t>
  </si>
  <si>
    <t>1718 P Street, NW, Unit #612,, Washington, DC 20036</t>
  </si>
  <si>
    <t>851 North Glebe Road, Unit #707,, Arlington, VA 22203</t>
  </si>
  <si>
    <t>1391 Pennsylvania Avenue SE Unit 544, Washington, DC 20003</t>
  </si>
  <si>
    <t>1527 O Street NW Unit 1, Washington, DC 20005</t>
  </si>
  <si>
    <t>1826 Biltmore Street NW Unit 5, Washington, DC 20009</t>
  </si>
  <si>
    <t>522 21st Street, NW, Unit 205, Washington, DC 20006</t>
  </si>
  <si>
    <t>2718 P St NW Unit 1AB, Washington, DC 20007</t>
  </si>
  <si>
    <t>1415-1/2 21st Street, NW, Unit #A,, Washington, DC 20036</t>
  </si>
  <si>
    <t>1401 Columbia Rd NW Unit 104, Washington, DC 20009</t>
  </si>
  <si>
    <t>2950 Newark Street NW Unit 1AB, Washington, DC 20008</t>
  </si>
  <si>
    <t>1745 Willard Street NW Unit 1AB, Washington, DC 20009</t>
  </si>
  <si>
    <t>3004 P St NW Unit 1AB, Washington, DC 20007</t>
  </si>
  <si>
    <t>1011 Arlington BLVD Unit 1111, Arlington, VA 22209</t>
  </si>
  <si>
    <t>73 G Street, SW, Unit 1AB, Washington, DC 20024</t>
  </si>
  <si>
    <t>1525 O Street, NW, Unit #1,, Washington, DC 20005</t>
  </si>
  <si>
    <t>2136 Bancroft Unit 1AB, Washington, DC 20008</t>
  </si>
  <si>
    <t>1200 N Nash St Unit 1111, Arlington, VA 22209</t>
  </si>
  <si>
    <t>1206 T Street NW Unit 1, Washington, DC 20009</t>
  </si>
  <si>
    <t>1206 T Street NW Unit Main, Washington, DC 20009</t>
  </si>
  <si>
    <t>437 New York Avenue NW Unit Y22, Washington, DC 20001</t>
  </si>
  <si>
    <t>634 Nelson Street Unit 1AB, Arlington, VA 22203</t>
  </si>
  <si>
    <t>3045 N St NW Unit 1AB, Washington, DC 20007</t>
  </si>
  <si>
    <t>1718 P Street NW Unit 307, Washington, DC 20036</t>
  </si>
  <si>
    <t>1001 N Randolph Street Unit 513, Arlington, VA 22201</t>
  </si>
  <si>
    <t>1831 Belmont Road NW Unit 201, Washington, DC 20009</t>
  </si>
  <si>
    <t>1029 N Stuart Street Unit Apt 500, Arlington, VA 22201</t>
  </si>
  <si>
    <t>3650 S Glebe Rd Unit 338, Arlington, VA 22202</t>
  </si>
  <si>
    <t>1121 24th Street, NW, Unit #104,, Washington, DC 20037</t>
  </si>
  <si>
    <t>2802 Olive Street NW Unit 4, Washington, DC 20007</t>
  </si>
  <si>
    <t>717 Bracey LN Unit 1AB, Alexandria, VA 22314</t>
  </si>
  <si>
    <t>930 Hughes Mews Unit 1AB, Washington, DC 20037</t>
  </si>
  <si>
    <t>1101 P Street NW Unit 3F, Washington, DC 20005</t>
  </si>
  <si>
    <t>3045 N St NW Unit 1AB, Washington DC, DC 20007</t>
  </si>
  <si>
    <t>777 7th Street NW Unit 1AB, Washington, DC 20001</t>
  </si>
  <si>
    <t>1025 1st St SE Unit 1AB, Washington, DC 20003</t>
  </si>
  <si>
    <t>1700 13th Street NW Unit 2, Washington, DC 20009</t>
  </si>
  <si>
    <t>1715 15th Street, NW, Unit #44,, Washington, DC 20009</t>
  </si>
  <si>
    <t>1221 10th Street NW Unit 1, Washington, DC 20001</t>
  </si>
  <si>
    <t>2608 Cathedral Ave NW Unit #3, Washington, DC 20008</t>
  </si>
  <si>
    <t>2001 15th St Unit 211, Arlington, VA 22201</t>
  </si>
  <si>
    <t>1441 Florida Ave NW Unit 2B, Washington, DC 20009</t>
  </si>
  <si>
    <t>2227 20th St NW Unit 107, Washington, DC 20009</t>
  </si>
  <si>
    <t>601 Pennsylvania Avenue NW Unit 1007, Washington, DC 20004</t>
  </si>
  <si>
    <t>2500 Q St NW Unit 328, Washington, DC 20007</t>
  </si>
  <si>
    <t>27th and Olive St NW Unit 1AB, Washington, DC 20007</t>
  </si>
  <si>
    <t>1021 Arlington Boulevard Unit 841, Arlington, VA 22209</t>
  </si>
  <si>
    <t>801 Independence Ave SE Unit 1AB, Washington, DC 20003</t>
  </si>
  <si>
    <t>118 Princess St Unit 1AB, Alexandria, VA 22314</t>
  </si>
  <si>
    <t>1300 Crystal Dr Unit 507, Arlington, VA 22208</t>
  </si>
  <si>
    <t>616 E Street, NW, Unit #852,, Washington, DC 20004</t>
  </si>
  <si>
    <t>1111 N 19th Street, Unit 1601, Arlington, VA 22209</t>
  </si>
  <si>
    <t>2106 O Street NW Unit 3, Washington, DC 20037</t>
  </si>
  <si>
    <t>4310 Cathedral Unit 1AB, Washington, DC 20016</t>
  </si>
  <si>
    <t>1773 Church Street NW Unit 1, Washington, DC 20036</t>
  </si>
  <si>
    <t>631 D Street, NW NW Unit 530, Washington, DC 20004</t>
  </si>
  <si>
    <t>2033 P Street NW Unit 4, Washington, DC 20036</t>
  </si>
  <si>
    <t>2033 P Street NW Unit 2, Washington, DC 20036</t>
  </si>
  <si>
    <t>1225 N Street NW Unit C, Washington, DC 20005</t>
  </si>
  <si>
    <t>1000 6th st SW Unit 114, Washington, DC 20024</t>
  </si>
  <si>
    <t>437 New York Ave NW Unit 1AB, Washington, DC 20001</t>
  </si>
  <si>
    <t>1917 18th Street NW Unit 3, Washington, DC 20009</t>
  </si>
  <si>
    <t>555 Massachusetts Avenue NW Unit 812, Washington, DC 20001</t>
  </si>
  <si>
    <t>1000 New Jersey Avenue SE Unit 615, Washington, DC 20003</t>
  </si>
  <si>
    <t>1000 N Randolph Unit 1AB, Arlington, VA 22204</t>
  </si>
  <si>
    <t>26 Auburn Court, Unit #D,, Alexandria, VA 22305</t>
  </si>
  <si>
    <t>3830 9th Street North Unit 504 E, Arlington, VA 22203</t>
  </si>
  <si>
    <t>1917 18th Street NW Unit 2, Washington, DC 20009</t>
  </si>
  <si>
    <t>1101 P Street NW Unit 3R, Washington, DC 20005</t>
  </si>
  <si>
    <t>1766 Willard St NW Unit #1, Washington DC, DC 20009</t>
  </si>
  <si>
    <t>1615 Q St NW Unit 1AB, Washington, DC 20009</t>
  </si>
  <si>
    <t>1725 19th St NW Unit 1AB, Washington, DC 20009</t>
  </si>
  <si>
    <t>4459 MacArthur Blvd Unit #1, Washington, DC 20007</t>
  </si>
  <si>
    <t>4459 MacArthur Blvd Unit 1AB, Washington, DC 20007</t>
  </si>
  <si>
    <t>1633 19th Street NW Unit 1AB, Washington, DC 20009</t>
  </si>
  <si>
    <t>3299 K Street NW Unit 301, Washington, DC 20007</t>
  </si>
  <si>
    <t>801 Independence Ave, SE, Unit Basement, Washington, DC 20002</t>
  </si>
  <si>
    <t>1718 19th ST NW Unit #1, Washington, DC 20009</t>
  </si>
  <si>
    <t>1718 19th ST NW Unit 1AB, Washington, DC 20009</t>
  </si>
  <si>
    <t>1389 Florida Ave NE Unit 1AB, Washington, DC 20002</t>
  </si>
  <si>
    <t>1308 21st Street NW Unit 100, Washington, DC 20036</t>
  </si>
  <si>
    <t>1127 6th St NW Unit 200, Washington, DC 20001</t>
  </si>
  <si>
    <t>555 Massachusetts Avenue NW Unit 816, Washington, DC 20001</t>
  </si>
  <si>
    <t>1101 P Street NW Unit 2F, Washington, DC 20005</t>
  </si>
  <si>
    <t>1400 Church St NW Unit 411, Washington, DC 20005</t>
  </si>
  <si>
    <t>2106 O Street NW Unit 1, Washington, DC 20037</t>
  </si>
  <si>
    <t>2017 O Street NW Unit G, Washington, DC 20037</t>
  </si>
  <si>
    <t>915 E St NW Unit old tm, Washington, DC 20004</t>
  </si>
  <si>
    <t>437 New York Avenue NW Unit Y25, Washington, DC 20001</t>
  </si>
  <si>
    <t>1101 P Street NW Unit B, Washington, DC 20005</t>
  </si>
  <si>
    <t>2106 O Street NW Unit 4, Washington, DC 20037</t>
  </si>
  <si>
    <t>1101 P Street NW Unit 1F, Washington, DC 20005</t>
  </si>
  <si>
    <t>1858 California St NW Unit 31, Washington, DC 20009</t>
  </si>
  <si>
    <t>555 Massachusetts Avenue NW Unit 1309, Washington, DC 20001</t>
  </si>
  <si>
    <t>1746 T Street NW Unit 1AB, Washington, DC 20009</t>
  </si>
  <si>
    <t>2440 16th St NW Unit 1AB, Washington, DC 20009</t>
  </si>
  <si>
    <t>880 North Pollard Street, Unit #224,, Arlington, VA 22203</t>
  </si>
  <si>
    <t>4501 Arlington Boulevard Unit 714, Arlington, VA 22203</t>
  </si>
  <si>
    <t>1111 19th Street N Unit 1506, Arlington, VA 22209</t>
  </si>
  <si>
    <t>1773 Church Street NW Unit 1AB, Washington, DC 20036</t>
  </si>
  <si>
    <t>930 Hughes Mews Unit #1, Washington, DC 20037</t>
  </si>
  <si>
    <t>2902 Porter St NW Unit #50, Washington, DC 20008</t>
  </si>
  <si>
    <t>1401 17th St NW Unit 207, Washington, DC 20036</t>
  </si>
  <si>
    <t>4000 Cathedral Avenue NW Unit 241B, Washington, DC 20016</t>
  </si>
  <si>
    <t>851 North Glebe Road, Unit #1920,, Arlington, VA 22203</t>
  </si>
  <si>
    <t>2115 N St NW Unit #1, Washington, DC 20037</t>
  </si>
  <si>
    <t>1280 21st ST NW Unit 104, Washington, DC 20036</t>
  </si>
  <si>
    <t>631 D Street NW Unit 640, Washington, DC 20004</t>
  </si>
  <si>
    <t>2726 Dumbarton St NW Unit 1AB, Washington, DC 20007</t>
  </si>
  <si>
    <t>777 7th Street NW Unit 1120, Washington, DC 20004</t>
  </si>
  <si>
    <t>1200 N Nash St Unit 232, Arlington, VA 22209</t>
  </si>
  <si>
    <t>440 L Street, NW, Unit 914, Washington, DC 20001</t>
  </si>
  <si>
    <t>400 Massachusetts Ave NW Unit 913, Washington, DC 20001</t>
  </si>
  <si>
    <t>3912 7th St S. Unit 1AB, Arlington, VA 22204</t>
  </si>
  <si>
    <t>1767 U St NW Unit 2, Washington, DC 20009</t>
  </si>
  <si>
    <t>1822 15th Street, NW, Unit #101,, Washington, DC 20009</t>
  </si>
  <si>
    <t>1737 P St NW Unit 201, Washington, DC 20036</t>
  </si>
  <si>
    <t>1391 Pennsylvania Avenue SE Unit 449, Washington, DC 20003</t>
  </si>
  <si>
    <t>777 7th Street NW Unit 914, Washington, DC 20004</t>
  </si>
  <si>
    <t>1530 N Key Blvd Unit 1AB, Arlington, VA 22209</t>
  </si>
  <si>
    <t>1506 P St NW Unit #B, Washington, DC 20005</t>
  </si>
  <si>
    <t>1744 Seaton Street NW Unit 1AB, Washington, DC 20009</t>
  </si>
  <si>
    <t>2725 39th ST NW Unit 402, Washington, DC 20007</t>
  </si>
  <si>
    <t>1822 15th Street NW Unit 305, Washington, DC 20009</t>
  </si>
  <si>
    <t>1126 10th St NW Unit 3, Washington, DC 20001</t>
  </si>
  <si>
    <t>1460 T Street NW Unit 1AB, Washington, DC 20009</t>
  </si>
  <si>
    <t>1205 N Garfield Street Unit 203, Arlington, VA 22201</t>
  </si>
  <si>
    <t>1506 P St NW Unit #2, Washington, DC 20009</t>
  </si>
  <si>
    <t>437 New York Avenue NW Unit 702, Washington, DC 20001</t>
  </si>
  <si>
    <t>2022 Columbia Road, NW, Unit #704,, Washington, DC 20009</t>
  </si>
  <si>
    <t>1924 -1/2 15th ST NW Unit 1AB, Washington, DC 20009</t>
  </si>
  <si>
    <t>1506 P St NW #1 Unit 1, Washington, DC 20005</t>
  </si>
  <si>
    <t>1035 Key Boulevard Unit #1026, Arlington, VA 22209</t>
  </si>
  <si>
    <t>2713 P St NW Unit #1, Washington, DC 20007</t>
  </si>
  <si>
    <t>1828 Riggs Place NW Unit 21, Washington, DC 20009</t>
  </si>
  <si>
    <t>1800 Wilson Blvd Unit 1AB, Arlington, VA 22209</t>
  </si>
  <si>
    <t>2512 M Street, NW, Unit 1AB, Washington, DC 20037</t>
  </si>
  <si>
    <t>2139 Tunlaw Unit B, Washington, DC 20007</t>
  </si>
  <si>
    <t>1527 O Street NW Unit Main, Washington, DC 20005</t>
  </si>
  <si>
    <t>1919 16th St NW Unit 4, Washington, DC 20009</t>
  </si>
  <si>
    <t>3835 9th St Unit 404 East, Arlington, VA 22203</t>
  </si>
  <si>
    <t>1915 18th Street, NW, Unit #1,, Washington, DC 20009</t>
  </si>
  <si>
    <t>1140 23rd St NW Unit 907, Washington, DC 20037</t>
  </si>
  <si>
    <t>1913 12th Street Unit A, Washington, DC 20009</t>
  </si>
  <si>
    <t>1918 15th St NW Unit 1AB, Washington, DC 20009</t>
  </si>
  <si>
    <t>1954 Columbia Road Unit 606, Washington, DC 20009</t>
  </si>
  <si>
    <t>20 Logan Circle Unit 1AB, Washington, DC 20005</t>
  </si>
  <si>
    <t>2130 N Street NW Unit 504, Washington, DC 20037</t>
  </si>
  <si>
    <t>2434 20th Street NW Unit Main, Washington, DC 20009</t>
  </si>
  <si>
    <t>2501 Wisconsin Ave Unit 204, Washington, DC 20007</t>
  </si>
  <si>
    <t>2802 Olive Street NW Unit 1, Washington, DC 20007</t>
  </si>
  <si>
    <t>DNU-2802 Olive Street NW Unit 2, Washington, DC 20007</t>
  </si>
  <si>
    <t>2802 Olive Street NW Unit 3, Washington, DC 20007</t>
  </si>
  <si>
    <t>2922 18th St NW Unit 2, Washington, DC 20009</t>
  </si>
  <si>
    <t>3104 16th St NW Unit A, Washington, DC 20010</t>
  </si>
  <si>
    <t>400 Massachusetts Avenue Unit 814, Washington, DC 20001</t>
  </si>
  <si>
    <t>512 M Street NW Unit B, Washington, DC 20001</t>
  </si>
  <si>
    <t>675 E Street, NW, Unit #340,, Washington, DC 20004</t>
  </si>
  <si>
    <t>777 7th Street NW Unit 922, Washington, DC 20001</t>
  </si>
  <si>
    <t>8 Snows Court NW Unit 1AB, Washington, DC 20037</t>
  </si>
  <si>
    <t>801 Pennsylvania Ave NW Unit PH09, Washington, DC 20004</t>
  </si>
  <si>
    <t>914 1/2 25th St NW Unit 1AB, Washington, DC 20037</t>
  </si>
  <si>
    <t>525 N Fayette St Unit 1AB, Alexandria, VA 22314</t>
  </si>
  <si>
    <t>1001 N Randolph Street Unit 1006, Arlington, VA 22201</t>
  </si>
  <si>
    <t>1001 N Vermont Street Unit 714, Arlington, VA 22201</t>
  </si>
  <si>
    <t>1021 N Garfield Unit 612, Arlington, VA 22201</t>
  </si>
  <si>
    <t>1600 N. Oak St. Unit 1220, Arlington, VA 22209</t>
  </si>
  <si>
    <t>314 N Fillmore St. Unit 1AB, Arlington, VA 22201</t>
  </si>
  <si>
    <t>838 S. Quincy St. Unit 1AB, Arlington, VA 22204</t>
  </si>
  <si>
    <t>901 North Monroe Street, Unit 308, Arlington, VA 22201</t>
  </si>
  <si>
    <t>400 Massachusetts Avenue NW Unit 1308, Washington, DC 20001</t>
  </si>
  <si>
    <t>1117 10th Street NW Unit 910, Washington, DC 20001</t>
  </si>
  <si>
    <t>1403 21st St. Unit 4, Washington, DC 20036</t>
  </si>
  <si>
    <t>1403 21st Street, NW, Unit #3,, Washington, DC 20036</t>
  </si>
  <si>
    <t>1737 Swann Street NW Unit 1AB, Washington, DC 20009</t>
  </si>
  <si>
    <t>21 Gessford Ct, SE Unit 1AB, Washington, DC 20003</t>
  </si>
  <si>
    <t>2130 N Street NW Unit 401, Washington, DC 20037</t>
  </si>
  <si>
    <t>323 Constitution Ave NE Unit 1AB, Washington, DC 20002</t>
  </si>
  <si>
    <t>910 M Street NW Unit 306, Washington, DC 20001</t>
  </si>
  <si>
    <t>1018 Paper Mill Court NW Unit 1AB, Washington, DC 20007</t>
  </si>
  <si>
    <t>1058 Paper Mill Court NW Unit 1AB, Washington, DC 20007</t>
  </si>
  <si>
    <t>1211 33rd Street NW Unit 1, Washington, DC 20007</t>
  </si>
  <si>
    <t>1211 33rd Street NW Unit 2, Washington, DC 20007</t>
  </si>
  <si>
    <t>1211 33rd Street NW Unit A, Washington, DC 20007</t>
  </si>
  <si>
    <t>1227 33rd St NW Unit 1AB, Washington, DC 20007</t>
  </si>
  <si>
    <t>1227 33rd St NW Unit A, Washington, DC 20007</t>
  </si>
  <si>
    <t>1238 D Street SE Unit 1AB, Washington, DC 20003</t>
  </si>
  <si>
    <t>1263 21st Street NW Unit 1AB, Washington, DC 20036</t>
  </si>
  <si>
    <t>123 Sample Lease Lane NW Unit 1, Washington, DC 00000</t>
  </si>
  <si>
    <t>1264 New Hampshire Avenue NW Unit 3, Washington, DC 20036</t>
  </si>
  <si>
    <t>1264 New Hampshire Avenue NW Unit 4, Washington, DC 20036</t>
  </si>
  <si>
    <t>1275 25th Street NW Unit 806, Washington, DC 20036</t>
  </si>
  <si>
    <t>1301 T Street NW Unit #1, Washington, DC 20009</t>
  </si>
  <si>
    <t>1312 Massachusetts Ave, NW Unit 201, Washington, DC 20005</t>
  </si>
  <si>
    <t>134 12th Street SE Unit #B, Washington, DC 20003</t>
  </si>
  <si>
    <t>1372 B. Monroe Street NW Unit 1AB, Washington, DC 20010</t>
  </si>
  <si>
    <t>1390 Kenyon St NW Unit 1AB, Washington, DC 20010</t>
  </si>
  <si>
    <t>1403 21st St NW Unit #1, Washington, DC 20036</t>
  </si>
  <si>
    <t>1403 21st St NW Unit 2, Washington, DC 20036</t>
  </si>
  <si>
    <t>1406 21st St NW Unit B, Washington, DC 20036</t>
  </si>
  <si>
    <t>1423 R Street Unit B-1, Washington, DC 20009</t>
  </si>
  <si>
    <t>1545 18th St. NW Unit 717, Washington, DC 20036</t>
  </si>
  <si>
    <t>1618 S Street NW Unit 1, Washington, DC 20009</t>
  </si>
  <si>
    <t>1618 S Street NW Unit 2, Washington, DC 20009</t>
  </si>
  <si>
    <t>1620 Corcoran Street NW Unit C, Washington, DC 20009</t>
  </si>
  <si>
    <t>1645 13th Street NW Unit B, Washington, DC 20009</t>
  </si>
  <si>
    <t>1715 15th St NW Unit 45, Washington, DC 20009</t>
  </si>
  <si>
    <t>1717 P St NW Unit 3B, Washington, DC 20036</t>
  </si>
  <si>
    <t>1727 P Street NW Unit B, Washington, DC 20036</t>
  </si>
  <si>
    <t>1727 Willard St NW Unit B, Washington, DC 20009</t>
  </si>
  <si>
    <t>1745-1/2 Willard Street NW Unit 1AB, Washington, DC 20009</t>
  </si>
  <si>
    <t>1746 1/2 T St NW Unit 1AB, Washington, DC 20009</t>
  </si>
  <si>
    <t>1752 Corcoran Street NW Unit 1A, Washington, DC 20009</t>
  </si>
  <si>
    <t>1757 T St NW Unit D, Washington, DC 20009</t>
  </si>
  <si>
    <t>1819 Vernon Street NW Unit 2, Washington, DC 20009</t>
  </si>
  <si>
    <t>1822 15th Street, NW, Unit #201,, Washington, DC 20009</t>
  </si>
  <si>
    <t>1844 Columbia Road NW Unit 201, Washington, DC 20009</t>
  </si>
  <si>
    <t>1851 Columbia Road NW Unit 502, Washington, DC 20009</t>
  </si>
  <si>
    <t>1851 Columbia Road NW Unit 706, Washington, DC 20009</t>
  </si>
  <si>
    <t>1861 California Street, NW, Unit Apt 1, Washington, DC 20009</t>
  </si>
  <si>
    <t>1866 Wyoming Avenue NW Unit 1, Washington, DC 20009</t>
  </si>
  <si>
    <t>1871 California Street NW Unit 3, Washington, DC 20009</t>
  </si>
  <si>
    <t>1886 - 1/2 Ontario Place, NW, Unit #1,, Washington, DC 20009</t>
  </si>
  <si>
    <t>1901 Vermont Avenue NW Unit A, Washington, DC 20001</t>
  </si>
  <si>
    <t>1912 Calvert Street, NW, Unit #2,, Washington, DC 20009</t>
  </si>
  <si>
    <t>1912 Calvert St. NW Unit 4, Washington, DC 20009</t>
  </si>
  <si>
    <t>Hood</t>
  </si>
  <si>
    <t>Bathrooms</t>
  </si>
  <si>
    <t>Full Bath</t>
  </si>
  <si>
    <t>Half Bath</t>
  </si>
  <si>
    <t>FourPlusBath</t>
  </si>
  <si>
    <t>Total Bath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</si>
</sst>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1"/>
  <sheetViews>
    <sheetView tabSelected="1" workbookViewId="0">
      <selection activeCell="A203" sqref="A203"/>
    </sheetView>
  </sheetViews>
  <sheetFormatPr defaultRowHeight="15.75" x14ac:dyDescent="0.5"/>
  <cols>
    <col min="1" max="1" width="61.9375" bestFit="1" customWidth="1"/>
  </cols>
  <sheetData>
    <row r="1" spans="1:12" x14ac:dyDescent="0.5">
      <c r="A1" t="s">
        <v>0</v>
      </c>
      <c r="B1" t="s">
        <v>1110</v>
      </c>
      <c r="C1" t="s">
        <v>1112</v>
      </c>
      <c r="D1" t="s">
        <v>2074</v>
      </c>
      <c r="E1" t="s">
        <v>2073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5">
      <c r="A2" t="s">
        <v>8</v>
      </c>
      <c r="B2" t="str">
        <f>_xlfn.XLOOKUP(A2, 'sqft data'!A:A, 'sqft data'!C:C, "Not Found")</f>
        <v>Not Found</v>
      </c>
      <c r="C2">
        <f>_xlfn.XLOOKUP(A2, 'bedroom data'!A:A, 'bedroom data'!B:B, "Not Found")</f>
        <v>1</v>
      </c>
      <c r="D2">
        <f>_xlfn.XLOOKUP(A2, 'bathroom data'!A:A, 'bathroom data'!B:B, "Not Found")</f>
        <v>1</v>
      </c>
      <c r="E2" t="str">
        <f>_xlfn.XLOOKUP(A2, 'bedroom data'!A:A, 'bedroom data'!C:C, "Not Found")</f>
        <v>Arlington</v>
      </c>
      <c r="F2" t="s">
        <v>9</v>
      </c>
      <c r="G2" t="s">
        <v>10</v>
      </c>
      <c r="H2" t="s">
        <v>11</v>
      </c>
      <c r="I2">
        <v>287.95999999999998</v>
      </c>
      <c r="J2" t="s">
        <v>12</v>
      </c>
      <c r="K2" t="s">
        <v>13</v>
      </c>
      <c r="L2" t="s">
        <v>13</v>
      </c>
    </row>
    <row r="3" spans="1:12" x14ac:dyDescent="0.5">
      <c r="A3" t="s">
        <v>14</v>
      </c>
      <c r="B3" t="str">
        <f>_xlfn.XLOOKUP(A3, 'sqft data'!A:A, 'sqft data'!C:C, "Not Found")</f>
        <v>Not Found</v>
      </c>
      <c r="C3">
        <f>_xlfn.XLOOKUP(A3, 'bedroom data'!A:A, 'bedroom data'!B:B, "Not Found")</f>
        <v>2</v>
      </c>
      <c r="D3">
        <f>_xlfn.XLOOKUP(A3, 'bathroom data'!A:A, 'bathroom data'!B:B, "Not Found")</f>
        <v>3</v>
      </c>
      <c r="E3" t="str">
        <f>_xlfn.XLOOKUP(A3, 'bedroom data'!A:A, 'bedroom data'!C:C, "Not Found")</f>
        <v>Alexandria</v>
      </c>
      <c r="F3" t="s">
        <v>15</v>
      </c>
      <c r="G3" t="s">
        <v>16</v>
      </c>
      <c r="H3" t="s">
        <v>17</v>
      </c>
      <c r="I3">
        <v>200</v>
      </c>
      <c r="J3" t="s">
        <v>18</v>
      </c>
      <c r="K3" t="s">
        <v>13</v>
      </c>
      <c r="L3" t="s">
        <v>13</v>
      </c>
    </row>
    <row r="4" spans="1:12" x14ac:dyDescent="0.5">
      <c r="A4" t="s">
        <v>19</v>
      </c>
      <c r="B4" t="str">
        <f>_xlfn.XLOOKUP(A4, 'sqft data'!A:A, 'sqft data'!C:C, "Not Found")</f>
        <v>Not Found</v>
      </c>
      <c r="C4" t="str">
        <f>_xlfn.XLOOKUP(A4, 'bedroom data'!A:A, 'bedroom data'!B:B, "Not Found")</f>
        <v>Studio</v>
      </c>
      <c r="D4">
        <f>_xlfn.XLOOKUP(A4, 'bathroom data'!A:A, 'bathroom data'!B:B, "Not Found")</f>
        <v>1</v>
      </c>
      <c r="E4" t="str">
        <f>_xlfn.XLOOKUP(A4, 'bedroom data'!A:A, 'bedroom data'!C:C, "Not Found")</f>
        <v>Dupont Circle</v>
      </c>
      <c r="F4" t="s">
        <v>20</v>
      </c>
      <c r="G4" t="s">
        <v>21</v>
      </c>
      <c r="H4" t="s">
        <v>22</v>
      </c>
      <c r="I4">
        <v>0</v>
      </c>
      <c r="J4" t="s">
        <v>23</v>
      </c>
      <c r="K4" t="s">
        <v>13</v>
      </c>
      <c r="L4" t="s">
        <v>13</v>
      </c>
    </row>
    <row r="5" spans="1:12" x14ac:dyDescent="0.5">
      <c r="A5" t="s">
        <v>19</v>
      </c>
      <c r="B5" t="str">
        <f>_xlfn.XLOOKUP(A5, 'sqft data'!A:A, 'sqft data'!C:C, "Not Found")</f>
        <v>Not Found</v>
      </c>
      <c r="C5" t="str">
        <f>_xlfn.XLOOKUP(A5, 'bedroom data'!A:A, 'bedroom data'!B:B, "Not Found")</f>
        <v>Studio</v>
      </c>
      <c r="D5">
        <f>_xlfn.XLOOKUP(A5, 'bathroom data'!A:A, 'bathroom data'!B:B, "Not Found")</f>
        <v>1</v>
      </c>
      <c r="E5" t="str">
        <f>_xlfn.XLOOKUP(A5, 'bedroom data'!A:A, 'bedroom data'!C:C, "Not Found")</f>
        <v>Dupont Circle</v>
      </c>
      <c r="F5" t="s">
        <v>20</v>
      </c>
      <c r="G5" t="s">
        <v>24</v>
      </c>
      <c r="H5" t="s">
        <v>25</v>
      </c>
      <c r="I5">
        <v>0</v>
      </c>
      <c r="J5" t="s">
        <v>26</v>
      </c>
      <c r="K5" t="s">
        <v>13</v>
      </c>
      <c r="L5" t="s">
        <v>13</v>
      </c>
    </row>
    <row r="6" spans="1:12" x14ac:dyDescent="0.5">
      <c r="A6" t="s">
        <v>27</v>
      </c>
      <c r="B6" t="str">
        <f>_xlfn.XLOOKUP(A6, 'sqft data'!A:A, 'sqft data'!C:C, "Not Found")</f>
        <v>Not Found</v>
      </c>
      <c r="C6">
        <f>_xlfn.XLOOKUP(A6, 'bedroom data'!A:A, 'bedroom data'!B:B, "Not Found")</f>
        <v>1</v>
      </c>
      <c r="D6">
        <f>_xlfn.XLOOKUP(A6, 'bathroom data'!A:A, 'bathroom data'!B:B, "Not Found")</f>
        <v>1</v>
      </c>
      <c r="E6" t="str">
        <f>_xlfn.XLOOKUP(A6, 'bedroom data'!A:A, 'bedroom data'!C:C, "Not Found")</f>
        <v>Dupont Circle</v>
      </c>
      <c r="F6" t="s">
        <v>20</v>
      </c>
      <c r="G6" t="s">
        <v>28</v>
      </c>
      <c r="H6" t="s">
        <v>29</v>
      </c>
      <c r="I6">
        <v>0</v>
      </c>
      <c r="J6" t="s">
        <v>30</v>
      </c>
      <c r="K6" t="s">
        <v>13</v>
      </c>
      <c r="L6" t="s">
        <v>13</v>
      </c>
    </row>
    <row r="7" spans="1:12" x14ac:dyDescent="0.5">
      <c r="A7" t="s">
        <v>31</v>
      </c>
      <c r="B7" t="str">
        <f>_xlfn.XLOOKUP(A7, 'sqft data'!A:A, 'sqft data'!C:C, "Not Found")</f>
        <v>Not Found</v>
      </c>
      <c r="C7">
        <f>_xlfn.XLOOKUP(A7, 'bedroom data'!A:A, 'bedroom data'!B:B, "Not Found")</f>
        <v>3</v>
      </c>
      <c r="D7">
        <f>_xlfn.XLOOKUP(A7, 'bathroom data'!A:A, 'bathroom data'!B:B, "Not Found")</f>
        <v>3.5</v>
      </c>
      <c r="E7" t="str">
        <f>_xlfn.XLOOKUP(A7, 'bedroom data'!A:A, 'bedroom data'!C:C, "Not Found")</f>
        <v>Capitol Hill</v>
      </c>
      <c r="F7" t="s">
        <v>32</v>
      </c>
      <c r="G7" t="s">
        <v>33</v>
      </c>
      <c r="H7" t="s">
        <v>34</v>
      </c>
      <c r="I7">
        <v>112984</v>
      </c>
      <c r="J7" t="s">
        <v>35</v>
      </c>
      <c r="K7" t="s">
        <v>36</v>
      </c>
      <c r="L7" t="s">
        <v>36</v>
      </c>
    </row>
    <row r="8" spans="1:12" x14ac:dyDescent="0.5">
      <c r="A8" t="s">
        <v>37</v>
      </c>
      <c r="B8" t="str">
        <f>_xlfn.XLOOKUP(A8, 'sqft data'!A:A, 'sqft data'!C:C, "Not Found")</f>
        <v>Not Found</v>
      </c>
      <c r="C8">
        <f>_xlfn.XLOOKUP(A8, 'bedroom data'!A:A, 'bedroom data'!B:B, "Not Found")</f>
        <v>3</v>
      </c>
      <c r="D8">
        <f>_xlfn.XLOOKUP(A8, 'bathroom data'!A:A, 'bathroom data'!B:B, "Not Found")</f>
        <v>2.5</v>
      </c>
      <c r="E8" t="str">
        <f>_xlfn.XLOOKUP(A8, 'bedroom data'!A:A, 'bedroom data'!C:C, "Not Found")</f>
        <v>Dupont Circle</v>
      </c>
      <c r="F8" t="s">
        <v>38</v>
      </c>
      <c r="G8" t="s">
        <v>39</v>
      </c>
      <c r="H8" t="s">
        <v>40</v>
      </c>
      <c r="I8">
        <v>105</v>
      </c>
      <c r="J8" t="s">
        <v>41</v>
      </c>
      <c r="K8" t="s">
        <v>13</v>
      </c>
      <c r="L8" t="s">
        <v>13</v>
      </c>
    </row>
    <row r="9" spans="1:12" x14ac:dyDescent="0.5">
      <c r="A9" t="s">
        <v>42</v>
      </c>
      <c r="B9" t="str">
        <f>_xlfn.XLOOKUP(A9, 'sqft data'!A:A, 'sqft data'!C:C, "Not Found")</f>
        <v>Not Found</v>
      </c>
      <c r="C9">
        <f>_xlfn.XLOOKUP(A9, 'bedroom data'!A:A, 'bedroom data'!B:B, "Not Found")</f>
        <v>1</v>
      </c>
      <c r="D9">
        <f>_xlfn.XLOOKUP(A9, 'bathroom data'!A:A, 'bathroom data'!B:B, "Not Found")</f>
        <v>1</v>
      </c>
      <c r="E9" t="str">
        <f>_xlfn.XLOOKUP(A9, 'bedroom data'!A:A, 'bedroom data'!C:C, "Not Found")</f>
        <v>Palisades</v>
      </c>
      <c r="F9" t="s">
        <v>43</v>
      </c>
      <c r="G9" t="s">
        <v>44</v>
      </c>
      <c r="H9" t="s">
        <v>45</v>
      </c>
      <c r="I9">
        <v>100</v>
      </c>
      <c r="J9" t="s">
        <v>46</v>
      </c>
      <c r="K9" t="s">
        <v>13</v>
      </c>
      <c r="L9" t="s">
        <v>13</v>
      </c>
    </row>
    <row r="10" spans="1:12" x14ac:dyDescent="0.5">
      <c r="A10" t="s">
        <v>47</v>
      </c>
      <c r="B10" t="str">
        <f>_xlfn.XLOOKUP(A10, 'sqft data'!A:A, 'sqft data'!C:C, "Not Found")</f>
        <v>Not Found</v>
      </c>
      <c r="C10">
        <f>_xlfn.XLOOKUP(A10, 'bedroom data'!A:A, 'bedroom data'!B:B, "Not Found")</f>
        <v>1</v>
      </c>
      <c r="D10">
        <f>_xlfn.XLOOKUP(A10, 'bathroom data'!A:A, 'bathroom data'!B:B, "Not Found")</f>
        <v>1</v>
      </c>
      <c r="E10" t="str">
        <f>_xlfn.XLOOKUP(A10, 'bedroom data'!A:A, 'bedroom data'!C:C, "Not Found")</f>
        <v>U Street Corridor</v>
      </c>
      <c r="F10" t="s">
        <v>48</v>
      </c>
      <c r="G10" t="s">
        <v>49</v>
      </c>
      <c r="H10" t="s">
        <v>50</v>
      </c>
      <c r="I10">
        <v>0</v>
      </c>
      <c r="J10" t="s">
        <v>51</v>
      </c>
      <c r="K10" t="s">
        <v>13</v>
      </c>
      <c r="L10" t="s">
        <v>13</v>
      </c>
    </row>
    <row r="11" spans="1:12" x14ac:dyDescent="0.5">
      <c r="A11" t="s">
        <v>52</v>
      </c>
      <c r="B11">
        <f>_xlfn.XLOOKUP(A11, 'sqft data'!A:A, 'sqft data'!C:C, "Not Found")</f>
        <v>520</v>
      </c>
      <c r="C11">
        <f>_xlfn.XLOOKUP(A11, 'bedroom data'!A:A, 'bedroom data'!B:B, "Not Found")</f>
        <v>1</v>
      </c>
      <c r="D11">
        <f>_xlfn.XLOOKUP(A11, 'bathroom data'!A:A, 'bathroom data'!B:B, "Not Found")</f>
        <v>1</v>
      </c>
      <c r="E11" t="str">
        <f>_xlfn.XLOOKUP(A11, 'bedroom data'!A:A, 'bedroom data'!C:C, "Not Found")</f>
        <v>Foggy Bottom</v>
      </c>
      <c r="F11" t="s">
        <v>53</v>
      </c>
      <c r="G11" t="s">
        <v>54</v>
      </c>
      <c r="H11" t="s">
        <v>55</v>
      </c>
      <c r="I11">
        <v>85.38</v>
      </c>
      <c r="J11" t="s">
        <v>56</v>
      </c>
      <c r="K11" t="s">
        <v>13</v>
      </c>
      <c r="L11" t="s">
        <v>13</v>
      </c>
    </row>
    <row r="12" spans="1:12" x14ac:dyDescent="0.5">
      <c r="A12" t="s">
        <v>52</v>
      </c>
      <c r="B12">
        <f>_xlfn.XLOOKUP(A12, 'sqft data'!A:A, 'sqft data'!C:C, "Not Found")</f>
        <v>520</v>
      </c>
      <c r="C12">
        <f>_xlfn.XLOOKUP(A12, 'bedroom data'!A:A, 'bedroom data'!B:B, "Not Found")</f>
        <v>1</v>
      </c>
      <c r="D12">
        <f>_xlfn.XLOOKUP(A12, 'bathroom data'!A:A, 'bathroom data'!B:B, "Not Found")</f>
        <v>1</v>
      </c>
      <c r="E12" t="str">
        <f>_xlfn.XLOOKUP(A12, 'bedroom data'!A:A, 'bedroom data'!C:C, "Not Found")</f>
        <v>Foggy Bottom</v>
      </c>
      <c r="F12" t="s">
        <v>53</v>
      </c>
      <c r="G12" t="s">
        <v>57</v>
      </c>
      <c r="H12" t="s">
        <v>58</v>
      </c>
      <c r="I12">
        <v>88</v>
      </c>
      <c r="J12" t="s">
        <v>59</v>
      </c>
      <c r="K12" t="s">
        <v>13</v>
      </c>
      <c r="L12" t="s">
        <v>13</v>
      </c>
    </row>
    <row r="13" spans="1:12" x14ac:dyDescent="0.5">
      <c r="A13" t="s">
        <v>60</v>
      </c>
      <c r="B13">
        <f>_xlfn.XLOOKUP(A13, 'sqft data'!A:A, 'sqft data'!C:C, "Not Found")</f>
        <v>1450</v>
      </c>
      <c r="C13">
        <f>_xlfn.XLOOKUP(A13, 'bedroom data'!A:A, 'bedroom data'!B:B, "Not Found")</f>
        <v>3</v>
      </c>
      <c r="D13">
        <f>_xlfn.XLOOKUP(A13, 'bathroom data'!A:A, 'bathroom data'!B:B, "Not Found")</f>
        <v>1.5</v>
      </c>
      <c r="E13" t="str">
        <f>_xlfn.XLOOKUP(A13, 'bedroom data'!A:A, 'bedroom data'!C:C, "Not Found")</f>
        <v>Capitol Hill</v>
      </c>
      <c r="F13" t="s">
        <v>61</v>
      </c>
      <c r="G13" t="s">
        <v>62</v>
      </c>
      <c r="H13" t="s">
        <v>63</v>
      </c>
      <c r="I13">
        <v>208</v>
      </c>
      <c r="J13" t="s">
        <v>64</v>
      </c>
      <c r="K13" t="s">
        <v>13</v>
      </c>
      <c r="L13" t="s">
        <v>13</v>
      </c>
    </row>
    <row r="14" spans="1:12" x14ac:dyDescent="0.5">
      <c r="A14" t="s">
        <v>60</v>
      </c>
      <c r="B14">
        <f>_xlfn.XLOOKUP(A14, 'sqft data'!A:A, 'sqft data'!C:C, "Not Found")</f>
        <v>1450</v>
      </c>
      <c r="C14">
        <f>_xlfn.XLOOKUP(A14, 'bedroom data'!A:A, 'bedroom data'!B:B, "Not Found")</f>
        <v>3</v>
      </c>
      <c r="D14">
        <f>_xlfn.XLOOKUP(A14, 'bathroom data'!A:A, 'bathroom data'!B:B, "Not Found")</f>
        <v>1.5</v>
      </c>
      <c r="E14" t="str">
        <f>_xlfn.XLOOKUP(A14, 'bedroom data'!A:A, 'bedroom data'!C:C, "Not Found")</f>
        <v>Capitol Hill</v>
      </c>
      <c r="F14" t="s">
        <v>61</v>
      </c>
      <c r="G14" t="s">
        <v>65</v>
      </c>
      <c r="H14" t="s">
        <v>66</v>
      </c>
      <c r="I14">
        <v>156</v>
      </c>
      <c r="J14" t="s">
        <v>67</v>
      </c>
      <c r="K14" t="s">
        <v>13</v>
      </c>
      <c r="L14" t="s">
        <v>36</v>
      </c>
    </row>
    <row r="15" spans="1:12" x14ac:dyDescent="0.5">
      <c r="A15" t="s">
        <v>60</v>
      </c>
      <c r="B15">
        <f>_xlfn.XLOOKUP(A15, 'sqft data'!A:A, 'sqft data'!C:C, "Not Found")</f>
        <v>1450</v>
      </c>
      <c r="C15">
        <f>_xlfn.XLOOKUP(A15, 'bedroom data'!A:A, 'bedroom data'!B:B, "Not Found")</f>
        <v>3</v>
      </c>
      <c r="D15">
        <f>_xlfn.XLOOKUP(A15, 'bathroom data'!A:A, 'bathroom data'!B:B, "Not Found")</f>
        <v>1.5</v>
      </c>
      <c r="E15" t="str">
        <f>_xlfn.XLOOKUP(A15, 'bedroom data'!A:A, 'bedroom data'!C:C, "Not Found")</f>
        <v>Capitol Hill</v>
      </c>
      <c r="F15" t="s">
        <v>61</v>
      </c>
      <c r="G15" t="s">
        <v>68</v>
      </c>
      <c r="H15" t="s">
        <v>69</v>
      </c>
      <c r="I15">
        <v>162</v>
      </c>
      <c r="J15" t="s">
        <v>70</v>
      </c>
      <c r="K15" t="s">
        <v>13</v>
      </c>
      <c r="L15" t="s">
        <v>13</v>
      </c>
    </row>
    <row r="16" spans="1:12" x14ac:dyDescent="0.5">
      <c r="A16" t="s">
        <v>71</v>
      </c>
      <c r="B16">
        <f>_xlfn.XLOOKUP(A16, 'sqft data'!A:A, 'sqft data'!C:C, "Not Found")</f>
        <v>700</v>
      </c>
      <c r="C16">
        <f>_xlfn.XLOOKUP(A16, 'bedroom data'!A:A, 'bedroom data'!B:B, "Not Found")</f>
        <v>1</v>
      </c>
      <c r="D16">
        <f>_xlfn.XLOOKUP(A16, 'bathroom data'!A:A, 'bathroom data'!B:B, "Not Found")</f>
        <v>1</v>
      </c>
      <c r="E16" t="str">
        <f>_xlfn.XLOOKUP(A16, 'bedroom data'!A:A, 'bedroom data'!C:C, "Not Found")</f>
        <v>Capitol Hill</v>
      </c>
      <c r="F16" t="s">
        <v>61</v>
      </c>
      <c r="G16" t="s">
        <v>72</v>
      </c>
      <c r="H16" t="s">
        <v>73</v>
      </c>
      <c r="I16">
        <v>98</v>
      </c>
      <c r="J16" t="s">
        <v>74</v>
      </c>
      <c r="K16" t="s">
        <v>13</v>
      </c>
      <c r="L16" t="s">
        <v>13</v>
      </c>
    </row>
    <row r="17" spans="1:12" x14ac:dyDescent="0.5">
      <c r="A17" t="s">
        <v>71</v>
      </c>
      <c r="B17">
        <f>_xlfn.XLOOKUP(A17, 'sqft data'!A:A, 'sqft data'!C:C, "Not Found")</f>
        <v>700</v>
      </c>
      <c r="C17">
        <f>_xlfn.XLOOKUP(A17, 'bedroom data'!A:A, 'bedroom data'!B:B, "Not Found")</f>
        <v>1</v>
      </c>
      <c r="D17">
        <f>_xlfn.XLOOKUP(A17, 'bathroom data'!A:A, 'bathroom data'!B:B, "Not Found")</f>
        <v>1</v>
      </c>
      <c r="E17" t="str">
        <f>_xlfn.XLOOKUP(A17, 'bedroom data'!A:A, 'bedroom data'!C:C, "Not Found")</f>
        <v>Capitol Hill</v>
      </c>
      <c r="F17" t="s">
        <v>61</v>
      </c>
      <c r="G17" t="s">
        <v>34</v>
      </c>
      <c r="H17" t="s">
        <v>75</v>
      </c>
      <c r="I17">
        <v>98</v>
      </c>
      <c r="J17" t="s">
        <v>76</v>
      </c>
      <c r="K17" t="s">
        <v>13</v>
      </c>
      <c r="L17" t="s">
        <v>13</v>
      </c>
    </row>
    <row r="18" spans="1:12" x14ac:dyDescent="0.5">
      <c r="A18" t="s">
        <v>71</v>
      </c>
      <c r="B18">
        <f>_xlfn.XLOOKUP(A18, 'sqft data'!A:A, 'sqft data'!C:C, "Not Found")</f>
        <v>700</v>
      </c>
      <c r="C18">
        <f>_xlfn.XLOOKUP(A18, 'bedroom data'!A:A, 'bedroom data'!B:B, "Not Found")</f>
        <v>1</v>
      </c>
      <c r="D18">
        <f>_xlfn.XLOOKUP(A18, 'bathroom data'!A:A, 'bathroom data'!B:B, "Not Found")</f>
        <v>1</v>
      </c>
      <c r="E18" t="str">
        <f>_xlfn.XLOOKUP(A18, 'bedroom data'!A:A, 'bedroom data'!C:C, "Not Found")</f>
        <v>Capitol Hill</v>
      </c>
      <c r="F18" t="s">
        <v>61</v>
      </c>
      <c r="G18" t="s">
        <v>77</v>
      </c>
      <c r="H18" t="s">
        <v>78</v>
      </c>
      <c r="I18">
        <v>98</v>
      </c>
      <c r="J18" t="s">
        <v>79</v>
      </c>
      <c r="K18" t="s">
        <v>13</v>
      </c>
      <c r="L18" t="s">
        <v>13</v>
      </c>
    </row>
    <row r="19" spans="1:12" x14ac:dyDescent="0.5">
      <c r="A19" t="s">
        <v>80</v>
      </c>
      <c r="B19">
        <f>_xlfn.XLOOKUP(A19, 'sqft data'!A:A, 'sqft data'!C:C, "Not Found")</f>
        <v>750</v>
      </c>
      <c r="C19">
        <f>_xlfn.XLOOKUP(A19, 'bedroom data'!A:A, 'bedroom data'!B:B, "Not Found")</f>
        <v>1</v>
      </c>
      <c r="D19">
        <f>_xlfn.XLOOKUP(A19, 'bathroom data'!A:A, 'bathroom data'!B:B, "Not Found")</f>
        <v>1</v>
      </c>
      <c r="E19" t="str">
        <f>_xlfn.XLOOKUP(A19, 'bedroom data'!A:A, 'bedroom data'!C:C, "Not Found")</f>
        <v>Penn Quarter</v>
      </c>
      <c r="F19" t="s">
        <v>81</v>
      </c>
      <c r="G19" t="s">
        <v>82</v>
      </c>
      <c r="H19" t="s">
        <v>83</v>
      </c>
      <c r="I19">
        <v>130</v>
      </c>
      <c r="J19" t="s">
        <v>84</v>
      </c>
      <c r="K19" t="s">
        <v>13</v>
      </c>
      <c r="L19" t="s">
        <v>13</v>
      </c>
    </row>
    <row r="20" spans="1:12" x14ac:dyDescent="0.5">
      <c r="A20" t="s">
        <v>85</v>
      </c>
      <c r="B20">
        <f>_xlfn.XLOOKUP(A20, 'sqft data'!A:A, 'sqft data'!C:C, "Not Found")</f>
        <v>1089</v>
      </c>
      <c r="C20">
        <f>_xlfn.XLOOKUP(A20, 'bedroom data'!A:A, 'bedroom data'!B:B, "Not Found")</f>
        <v>1</v>
      </c>
      <c r="D20">
        <f>_xlfn.XLOOKUP(A20, 'bathroom data'!A:A, 'bathroom data'!B:B, "Not Found")</f>
        <v>1</v>
      </c>
      <c r="E20" t="str">
        <f>_xlfn.XLOOKUP(A20, 'bedroom data'!A:A, 'bedroom data'!C:C, "Not Found")</f>
        <v>Shaw</v>
      </c>
      <c r="F20" t="s">
        <v>86</v>
      </c>
      <c r="G20" t="s">
        <v>87</v>
      </c>
      <c r="H20" t="s">
        <v>88</v>
      </c>
      <c r="I20">
        <v>132</v>
      </c>
      <c r="J20" t="s">
        <v>89</v>
      </c>
      <c r="K20" t="s">
        <v>13</v>
      </c>
      <c r="L20" t="s">
        <v>13</v>
      </c>
    </row>
    <row r="21" spans="1:12" x14ac:dyDescent="0.5">
      <c r="A21" t="s">
        <v>85</v>
      </c>
      <c r="B21">
        <f>_xlfn.XLOOKUP(A21, 'sqft data'!A:A, 'sqft data'!C:C, "Not Found")</f>
        <v>1089</v>
      </c>
      <c r="C21">
        <f>_xlfn.XLOOKUP(A21, 'bedroom data'!A:A, 'bedroom data'!B:B, "Not Found")</f>
        <v>1</v>
      </c>
      <c r="D21">
        <f>_xlfn.XLOOKUP(A21, 'bathroom data'!A:A, 'bathroom data'!B:B, "Not Found")</f>
        <v>1</v>
      </c>
      <c r="E21" t="str">
        <f>_xlfn.XLOOKUP(A21, 'bedroom data'!A:A, 'bedroom data'!C:C, "Not Found")</f>
        <v>Shaw</v>
      </c>
      <c r="F21" t="s">
        <v>86</v>
      </c>
      <c r="G21" t="s">
        <v>28</v>
      </c>
      <c r="H21" t="s">
        <v>90</v>
      </c>
      <c r="I21">
        <v>117</v>
      </c>
      <c r="J21" t="s">
        <v>91</v>
      </c>
      <c r="K21" t="s">
        <v>13</v>
      </c>
      <c r="L21" t="s">
        <v>13</v>
      </c>
    </row>
    <row r="22" spans="1:12" x14ac:dyDescent="0.5">
      <c r="A22" t="s">
        <v>85</v>
      </c>
      <c r="B22">
        <f>_xlfn.XLOOKUP(A22, 'sqft data'!A:A, 'sqft data'!C:C, "Not Found")</f>
        <v>1089</v>
      </c>
      <c r="C22">
        <f>_xlfn.XLOOKUP(A22, 'bedroom data'!A:A, 'bedroom data'!B:B, "Not Found")</f>
        <v>1</v>
      </c>
      <c r="D22">
        <f>_xlfn.XLOOKUP(A22, 'bathroom data'!A:A, 'bathroom data'!B:B, "Not Found")</f>
        <v>1</v>
      </c>
      <c r="E22" t="str">
        <f>_xlfn.XLOOKUP(A22, 'bedroom data'!A:A, 'bedroom data'!C:C, "Not Found")</f>
        <v>Shaw</v>
      </c>
      <c r="F22" t="s">
        <v>86</v>
      </c>
      <c r="G22" t="s">
        <v>92</v>
      </c>
      <c r="H22" t="s">
        <v>93</v>
      </c>
      <c r="I22">
        <v>0</v>
      </c>
      <c r="J22" t="s">
        <v>92</v>
      </c>
      <c r="K22" t="s">
        <v>13</v>
      </c>
      <c r="L22" t="s">
        <v>13</v>
      </c>
    </row>
    <row r="23" spans="1:12" x14ac:dyDescent="0.5">
      <c r="A23" t="s">
        <v>85</v>
      </c>
      <c r="B23">
        <f>_xlfn.XLOOKUP(A23, 'sqft data'!A:A, 'sqft data'!C:C, "Not Found")</f>
        <v>1089</v>
      </c>
      <c r="C23">
        <f>_xlfn.XLOOKUP(A23, 'bedroom data'!A:A, 'bedroom data'!B:B, "Not Found")</f>
        <v>1</v>
      </c>
      <c r="D23">
        <f>_xlfn.XLOOKUP(A23, 'bathroom data'!A:A, 'bathroom data'!B:B, "Not Found")</f>
        <v>1</v>
      </c>
      <c r="E23" t="str">
        <f>_xlfn.XLOOKUP(A23, 'bedroom data'!A:A, 'bedroom data'!C:C, "Not Found")</f>
        <v>Shaw</v>
      </c>
      <c r="F23" t="s">
        <v>86</v>
      </c>
      <c r="G23" t="s">
        <v>94</v>
      </c>
      <c r="H23" t="s">
        <v>95</v>
      </c>
      <c r="I23">
        <v>122</v>
      </c>
      <c r="J23" t="s">
        <v>96</v>
      </c>
      <c r="K23" t="s">
        <v>13</v>
      </c>
      <c r="L23" t="s">
        <v>36</v>
      </c>
    </row>
    <row r="24" spans="1:12" x14ac:dyDescent="0.5">
      <c r="A24" t="s">
        <v>97</v>
      </c>
      <c r="B24">
        <f>_xlfn.XLOOKUP(A24, 'sqft data'!A:A, 'sqft data'!C:C, "Not Found")</f>
        <v>1200</v>
      </c>
      <c r="C24">
        <f>_xlfn.XLOOKUP(A24, 'bedroom data'!A:A, 'bedroom data'!B:B, "Not Found")</f>
        <v>2</v>
      </c>
      <c r="D24">
        <f>_xlfn.XLOOKUP(A24, 'bathroom data'!A:A, 'bathroom data'!B:B, "Not Found")</f>
        <v>2</v>
      </c>
      <c r="E24" t="str">
        <f>_xlfn.XLOOKUP(A24, 'bedroom data'!A:A, 'bedroom data'!C:C, "Not Found")</f>
        <v>Shaw</v>
      </c>
      <c r="F24" t="s">
        <v>86</v>
      </c>
      <c r="G24" t="s">
        <v>98</v>
      </c>
      <c r="H24" t="s">
        <v>99</v>
      </c>
      <c r="I24">
        <v>0</v>
      </c>
      <c r="J24" t="s">
        <v>100</v>
      </c>
      <c r="K24" t="s">
        <v>13</v>
      </c>
      <c r="L24" t="s">
        <v>13</v>
      </c>
    </row>
    <row r="25" spans="1:12" x14ac:dyDescent="0.5">
      <c r="A25" t="s">
        <v>97</v>
      </c>
      <c r="B25">
        <f>_xlfn.XLOOKUP(A25, 'sqft data'!A:A, 'sqft data'!C:C, "Not Found")</f>
        <v>1200</v>
      </c>
      <c r="C25">
        <f>_xlfn.XLOOKUP(A25, 'bedroom data'!A:A, 'bedroom data'!B:B, "Not Found")</f>
        <v>2</v>
      </c>
      <c r="D25">
        <f>_xlfn.XLOOKUP(A25, 'bathroom data'!A:A, 'bathroom data'!B:B, "Not Found")</f>
        <v>2</v>
      </c>
      <c r="E25" t="str">
        <f>_xlfn.XLOOKUP(A25, 'bedroom data'!A:A, 'bedroom data'!C:C, "Not Found")</f>
        <v>Shaw</v>
      </c>
      <c r="F25" t="s">
        <v>86</v>
      </c>
      <c r="G25" t="s">
        <v>101</v>
      </c>
      <c r="H25" t="s">
        <v>102</v>
      </c>
      <c r="I25">
        <v>185</v>
      </c>
      <c r="J25" t="s">
        <v>103</v>
      </c>
      <c r="K25" t="s">
        <v>13</v>
      </c>
      <c r="L25" t="s">
        <v>13</v>
      </c>
    </row>
    <row r="26" spans="1:12" x14ac:dyDescent="0.5">
      <c r="A26" t="s">
        <v>97</v>
      </c>
      <c r="B26">
        <f>_xlfn.XLOOKUP(A26, 'sqft data'!A:A, 'sqft data'!C:C, "Not Found")</f>
        <v>1200</v>
      </c>
      <c r="C26">
        <f>_xlfn.XLOOKUP(A26, 'bedroom data'!A:A, 'bedroom data'!B:B, "Not Found")</f>
        <v>2</v>
      </c>
      <c r="D26">
        <f>_xlfn.XLOOKUP(A26, 'bathroom data'!A:A, 'bathroom data'!B:B, "Not Found")</f>
        <v>2</v>
      </c>
      <c r="E26" t="str">
        <f>_xlfn.XLOOKUP(A26, 'bedroom data'!A:A, 'bedroom data'!C:C, "Not Found")</f>
        <v>Shaw</v>
      </c>
      <c r="F26" t="s">
        <v>86</v>
      </c>
      <c r="G26" t="s">
        <v>104</v>
      </c>
      <c r="H26" t="s">
        <v>105</v>
      </c>
      <c r="I26">
        <v>190</v>
      </c>
      <c r="J26" t="s">
        <v>106</v>
      </c>
      <c r="K26" t="s">
        <v>13</v>
      </c>
      <c r="L26" t="s">
        <v>13</v>
      </c>
    </row>
    <row r="27" spans="1:12" x14ac:dyDescent="0.5">
      <c r="A27" t="s">
        <v>97</v>
      </c>
      <c r="B27">
        <f>_xlfn.XLOOKUP(A27, 'sqft data'!A:A, 'sqft data'!C:C, "Not Found")</f>
        <v>1200</v>
      </c>
      <c r="C27">
        <f>_xlfn.XLOOKUP(A27, 'bedroom data'!A:A, 'bedroom data'!B:B, "Not Found")</f>
        <v>2</v>
      </c>
      <c r="D27">
        <f>_xlfn.XLOOKUP(A27, 'bathroom data'!A:A, 'bathroom data'!B:B, "Not Found")</f>
        <v>2</v>
      </c>
      <c r="E27" t="str">
        <f>_xlfn.XLOOKUP(A27, 'bedroom data'!A:A, 'bedroom data'!C:C, "Not Found")</f>
        <v>Shaw</v>
      </c>
      <c r="F27" t="s">
        <v>86</v>
      </c>
      <c r="G27" t="s">
        <v>107</v>
      </c>
      <c r="H27" t="s">
        <v>94</v>
      </c>
      <c r="I27">
        <v>190</v>
      </c>
      <c r="J27" t="s">
        <v>108</v>
      </c>
      <c r="K27" t="s">
        <v>13</v>
      </c>
      <c r="L27" t="s">
        <v>13</v>
      </c>
    </row>
    <row r="28" spans="1:12" x14ac:dyDescent="0.5">
      <c r="A28" t="s">
        <v>109</v>
      </c>
      <c r="B28">
        <f>_xlfn.XLOOKUP(A28, 'sqft data'!A:A, 'sqft data'!C:C, "Not Found")</f>
        <v>693</v>
      </c>
      <c r="C28">
        <f>_xlfn.XLOOKUP(A28, 'bedroom data'!A:A, 'bedroom data'!B:B, "Not Found")</f>
        <v>1</v>
      </c>
      <c r="D28">
        <f>_xlfn.XLOOKUP(A28, 'bathroom data'!A:A, 'bathroom data'!B:B, "Not Found")</f>
        <v>1</v>
      </c>
      <c r="E28" t="str">
        <f>_xlfn.XLOOKUP(A28, 'bedroom data'!A:A, 'bedroom data'!C:C, "Not Found")</f>
        <v>Shaw</v>
      </c>
      <c r="F28" t="s">
        <v>86</v>
      </c>
      <c r="G28" t="s">
        <v>110</v>
      </c>
      <c r="H28" t="s">
        <v>111</v>
      </c>
      <c r="I28">
        <v>0</v>
      </c>
      <c r="J28" t="s">
        <v>112</v>
      </c>
      <c r="K28" t="s">
        <v>13</v>
      </c>
      <c r="L28" t="s">
        <v>13</v>
      </c>
    </row>
    <row r="29" spans="1:12" x14ac:dyDescent="0.5">
      <c r="A29" t="s">
        <v>109</v>
      </c>
      <c r="B29">
        <f>_xlfn.XLOOKUP(A29, 'sqft data'!A:A, 'sqft data'!C:C, "Not Found")</f>
        <v>693</v>
      </c>
      <c r="C29">
        <f>_xlfn.XLOOKUP(A29, 'bedroom data'!A:A, 'bedroom data'!B:B, "Not Found")</f>
        <v>1</v>
      </c>
      <c r="D29">
        <f>_xlfn.XLOOKUP(A29, 'bathroom data'!A:A, 'bathroom data'!B:B, "Not Found")</f>
        <v>1</v>
      </c>
      <c r="E29" t="str">
        <f>_xlfn.XLOOKUP(A29, 'bedroom data'!A:A, 'bedroom data'!C:C, "Not Found")</f>
        <v>Shaw</v>
      </c>
      <c r="F29" t="s">
        <v>86</v>
      </c>
      <c r="G29" t="s">
        <v>113</v>
      </c>
      <c r="H29" t="s">
        <v>114</v>
      </c>
      <c r="I29">
        <v>0</v>
      </c>
      <c r="J29" t="s">
        <v>115</v>
      </c>
      <c r="K29" t="s">
        <v>13</v>
      </c>
      <c r="L29" t="s">
        <v>13</v>
      </c>
    </row>
    <row r="30" spans="1:12" x14ac:dyDescent="0.5">
      <c r="A30" t="s">
        <v>109</v>
      </c>
      <c r="B30">
        <f>_xlfn.XLOOKUP(A30, 'sqft data'!A:A, 'sqft data'!C:C, "Not Found")</f>
        <v>693</v>
      </c>
      <c r="C30">
        <f>_xlfn.XLOOKUP(A30, 'bedroom data'!A:A, 'bedroom data'!B:B, "Not Found")</f>
        <v>1</v>
      </c>
      <c r="D30">
        <f>_xlfn.XLOOKUP(A30, 'bathroom data'!A:A, 'bathroom data'!B:B, "Not Found")</f>
        <v>1</v>
      </c>
      <c r="E30" t="str">
        <f>_xlfn.XLOOKUP(A30, 'bedroom data'!A:A, 'bedroom data'!C:C, "Not Found")</f>
        <v>Shaw</v>
      </c>
      <c r="F30" t="s">
        <v>86</v>
      </c>
      <c r="G30" t="s">
        <v>116</v>
      </c>
      <c r="H30" t="s">
        <v>117</v>
      </c>
      <c r="I30">
        <v>119</v>
      </c>
      <c r="J30" t="s">
        <v>16</v>
      </c>
      <c r="K30" t="s">
        <v>13</v>
      </c>
      <c r="L30" t="s">
        <v>13</v>
      </c>
    </row>
    <row r="31" spans="1:12" x14ac:dyDescent="0.5">
      <c r="A31" t="s">
        <v>109</v>
      </c>
      <c r="B31">
        <f>_xlfn.XLOOKUP(A31, 'sqft data'!A:A, 'sqft data'!C:C, "Not Found")</f>
        <v>693</v>
      </c>
      <c r="C31">
        <f>_xlfn.XLOOKUP(A31, 'bedroom data'!A:A, 'bedroom data'!B:B, "Not Found")</f>
        <v>1</v>
      </c>
      <c r="D31">
        <f>_xlfn.XLOOKUP(A31, 'bathroom data'!A:A, 'bathroom data'!B:B, "Not Found")</f>
        <v>1</v>
      </c>
      <c r="E31" t="str">
        <f>_xlfn.XLOOKUP(A31, 'bedroom data'!A:A, 'bedroom data'!C:C, "Not Found")</f>
        <v>Shaw</v>
      </c>
      <c r="F31" t="s">
        <v>86</v>
      </c>
      <c r="G31" t="s">
        <v>118</v>
      </c>
      <c r="H31" t="s">
        <v>119</v>
      </c>
      <c r="I31">
        <v>0</v>
      </c>
      <c r="J31" t="s">
        <v>120</v>
      </c>
      <c r="K31" t="s">
        <v>13</v>
      </c>
      <c r="L31" t="s">
        <v>13</v>
      </c>
    </row>
    <row r="32" spans="1:12" x14ac:dyDescent="0.5">
      <c r="A32" t="s">
        <v>109</v>
      </c>
      <c r="B32">
        <f>_xlfn.XLOOKUP(A32, 'sqft data'!A:A, 'sqft data'!C:C, "Not Found")</f>
        <v>693</v>
      </c>
      <c r="C32">
        <f>_xlfn.XLOOKUP(A32, 'bedroom data'!A:A, 'bedroom data'!B:B, "Not Found")</f>
        <v>1</v>
      </c>
      <c r="D32">
        <f>_xlfn.XLOOKUP(A32, 'bathroom data'!A:A, 'bathroom data'!B:B, "Not Found")</f>
        <v>1</v>
      </c>
      <c r="E32" t="str">
        <f>_xlfn.XLOOKUP(A32, 'bedroom data'!A:A, 'bedroom data'!C:C, "Not Found")</f>
        <v>Shaw</v>
      </c>
      <c r="F32" t="s">
        <v>86</v>
      </c>
      <c r="G32" t="s">
        <v>121</v>
      </c>
      <c r="H32" t="s">
        <v>122</v>
      </c>
      <c r="I32">
        <v>0</v>
      </c>
      <c r="J32" t="s">
        <v>123</v>
      </c>
      <c r="K32" t="s">
        <v>13</v>
      </c>
      <c r="L32" t="s">
        <v>13</v>
      </c>
    </row>
    <row r="33" spans="1:12" x14ac:dyDescent="0.5">
      <c r="A33" t="s">
        <v>109</v>
      </c>
      <c r="B33">
        <f>_xlfn.XLOOKUP(A33, 'sqft data'!A:A, 'sqft data'!C:C, "Not Found")</f>
        <v>693</v>
      </c>
      <c r="C33">
        <f>_xlfn.XLOOKUP(A33, 'bedroom data'!A:A, 'bedroom data'!B:B, "Not Found")</f>
        <v>1</v>
      </c>
      <c r="D33">
        <f>_xlfn.XLOOKUP(A33, 'bathroom data'!A:A, 'bathroom data'!B:B, "Not Found")</f>
        <v>1</v>
      </c>
      <c r="E33" t="str">
        <f>_xlfn.XLOOKUP(A33, 'bedroom data'!A:A, 'bedroom data'!C:C, "Not Found")</f>
        <v>Shaw</v>
      </c>
      <c r="F33" t="s">
        <v>86</v>
      </c>
      <c r="G33" t="s">
        <v>105</v>
      </c>
      <c r="H33" t="s">
        <v>124</v>
      </c>
      <c r="I33">
        <v>0</v>
      </c>
      <c r="J33" t="s">
        <v>125</v>
      </c>
      <c r="K33" t="s">
        <v>13</v>
      </c>
      <c r="L33" t="s">
        <v>13</v>
      </c>
    </row>
    <row r="34" spans="1:12" x14ac:dyDescent="0.5">
      <c r="A34" t="s">
        <v>126</v>
      </c>
      <c r="B34">
        <f>_xlfn.XLOOKUP(A34, 'sqft data'!A:A, 'sqft data'!C:C, "Not Found")</f>
        <v>882</v>
      </c>
      <c r="C34">
        <f>_xlfn.XLOOKUP(A34, 'bedroom data'!A:A, 'bedroom data'!B:B, "Not Found")</f>
        <v>2</v>
      </c>
      <c r="D34">
        <f>_xlfn.XLOOKUP(A34, 'bathroom data'!A:A, 'bathroom data'!B:B, "Not Found")</f>
        <v>2</v>
      </c>
      <c r="E34" t="str">
        <f>_xlfn.XLOOKUP(A34, 'bedroom data'!A:A, 'bedroom data'!C:C, "Not Found")</f>
        <v>Waterfront</v>
      </c>
      <c r="F34" t="s">
        <v>127</v>
      </c>
      <c r="G34" t="s">
        <v>128</v>
      </c>
      <c r="H34" t="s">
        <v>129</v>
      </c>
      <c r="I34">
        <v>0</v>
      </c>
      <c r="J34" t="s">
        <v>128</v>
      </c>
      <c r="K34" t="s">
        <v>13</v>
      </c>
      <c r="L34" t="s">
        <v>13</v>
      </c>
    </row>
    <row r="35" spans="1:12" x14ac:dyDescent="0.5">
      <c r="A35" t="s">
        <v>130</v>
      </c>
      <c r="B35">
        <f>_xlfn.XLOOKUP(A35, 'sqft data'!A:A, 'sqft data'!C:C, "Not Found")</f>
        <v>920</v>
      </c>
      <c r="C35">
        <f>_xlfn.XLOOKUP(A35, 'bedroom data'!A:A, 'bedroom data'!B:B, "Not Found")</f>
        <v>2</v>
      </c>
      <c r="D35">
        <f>_xlfn.XLOOKUP(A35, 'bathroom data'!A:A, 'bathroom data'!B:B, "Not Found")</f>
        <v>1</v>
      </c>
      <c r="E35" t="str">
        <f>_xlfn.XLOOKUP(A35, 'bedroom data'!A:A, 'bedroom data'!C:C, "Not Found")</f>
        <v>Arlington</v>
      </c>
      <c r="F35" t="s">
        <v>131</v>
      </c>
      <c r="G35" t="s">
        <v>132</v>
      </c>
      <c r="H35" t="s">
        <v>133</v>
      </c>
      <c r="I35">
        <v>115</v>
      </c>
      <c r="J35" t="s">
        <v>134</v>
      </c>
      <c r="K35" t="s">
        <v>36</v>
      </c>
      <c r="L35" t="s">
        <v>13</v>
      </c>
    </row>
    <row r="36" spans="1:12" x14ac:dyDescent="0.5">
      <c r="A36" t="s">
        <v>130</v>
      </c>
      <c r="B36">
        <f>_xlfn.XLOOKUP(A36, 'sqft data'!A:A, 'sqft data'!C:C, "Not Found")</f>
        <v>920</v>
      </c>
      <c r="C36">
        <f>_xlfn.XLOOKUP(A36, 'bedroom data'!A:A, 'bedroom data'!B:B, "Not Found")</f>
        <v>2</v>
      </c>
      <c r="D36">
        <f>_xlfn.XLOOKUP(A36, 'bathroom data'!A:A, 'bathroom data'!B:B, "Not Found")</f>
        <v>1</v>
      </c>
      <c r="E36" t="str">
        <f>_xlfn.XLOOKUP(A36, 'bedroom data'!A:A, 'bedroom data'!C:C, "Not Found")</f>
        <v>Arlington</v>
      </c>
      <c r="F36" t="s">
        <v>131</v>
      </c>
      <c r="G36" t="s">
        <v>135</v>
      </c>
      <c r="H36" t="s">
        <v>136</v>
      </c>
      <c r="I36">
        <v>115</v>
      </c>
      <c r="J36" t="s">
        <v>137</v>
      </c>
      <c r="K36" t="s">
        <v>36</v>
      </c>
      <c r="L36" t="s">
        <v>13</v>
      </c>
    </row>
    <row r="37" spans="1:12" x14ac:dyDescent="0.5">
      <c r="A37" t="s">
        <v>130</v>
      </c>
      <c r="B37">
        <f>_xlfn.XLOOKUP(A37, 'sqft data'!A:A, 'sqft data'!C:C, "Not Found")</f>
        <v>920</v>
      </c>
      <c r="C37">
        <f>_xlfn.XLOOKUP(A37, 'bedroom data'!A:A, 'bedroom data'!B:B, "Not Found")</f>
        <v>2</v>
      </c>
      <c r="D37">
        <f>_xlfn.XLOOKUP(A37, 'bathroom data'!A:A, 'bathroom data'!B:B, "Not Found")</f>
        <v>1</v>
      </c>
      <c r="E37" t="str">
        <f>_xlfn.XLOOKUP(A37, 'bedroom data'!A:A, 'bedroom data'!C:C, "Not Found")</f>
        <v>Arlington</v>
      </c>
      <c r="F37" t="s">
        <v>131</v>
      </c>
      <c r="G37" t="s">
        <v>138</v>
      </c>
      <c r="H37" t="s">
        <v>139</v>
      </c>
      <c r="I37">
        <v>115</v>
      </c>
      <c r="J37" t="s">
        <v>140</v>
      </c>
      <c r="K37" t="s">
        <v>13</v>
      </c>
      <c r="L37" t="s">
        <v>13</v>
      </c>
    </row>
    <row r="38" spans="1:12" x14ac:dyDescent="0.5">
      <c r="A38" t="s">
        <v>141</v>
      </c>
      <c r="B38">
        <f>_xlfn.XLOOKUP(A38, 'sqft data'!A:A, 'sqft data'!C:C, "Not Found")</f>
        <v>900</v>
      </c>
      <c r="C38">
        <f>_xlfn.XLOOKUP(A38, 'bedroom data'!A:A, 'bedroom data'!B:B, "Not Found")</f>
        <v>2</v>
      </c>
      <c r="D38">
        <f>_xlfn.XLOOKUP(A38, 'bathroom data'!A:A, 'bathroom data'!B:B, "Not Found")</f>
        <v>2</v>
      </c>
      <c r="E38" t="str">
        <f>_xlfn.XLOOKUP(A38, 'bedroom data'!A:A, 'bedroom data'!C:C, "Not Found")</f>
        <v>Shepherd Park</v>
      </c>
      <c r="F38" t="s">
        <v>142</v>
      </c>
      <c r="G38" t="s">
        <v>132</v>
      </c>
      <c r="H38" t="s">
        <v>135</v>
      </c>
      <c r="I38">
        <v>106.67</v>
      </c>
      <c r="J38" t="s">
        <v>143</v>
      </c>
      <c r="K38" t="s">
        <v>13</v>
      </c>
      <c r="L38" t="s">
        <v>13</v>
      </c>
    </row>
    <row r="39" spans="1:12" x14ac:dyDescent="0.5">
      <c r="A39" t="s">
        <v>141</v>
      </c>
      <c r="B39">
        <f>_xlfn.XLOOKUP(A39, 'sqft data'!A:A, 'sqft data'!C:C, "Not Found")</f>
        <v>900</v>
      </c>
      <c r="C39">
        <f>_xlfn.XLOOKUP(A39, 'bedroom data'!A:A, 'bedroom data'!B:B, "Not Found")</f>
        <v>2</v>
      </c>
      <c r="D39">
        <f>_xlfn.XLOOKUP(A39, 'bathroom data'!A:A, 'bathroom data'!B:B, "Not Found")</f>
        <v>2</v>
      </c>
      <c r="E39" t="str">
        <f>_xlfn.XLOOKUP(A39, 'bedroom data'!A:A, 'bedroom data'!C:C, "Not Found")</f>
        <v>Shepherd Park</v>
      </c>
      <c r="F39" t="s">
        <v>142</v>
      </c>
      <c r="G39" t="s">
        <v>84</v>
      </c>
      <c r="H39" t="s">
        <v>144</v>
      </c>
      <c r="I39">
        <v>109.33</v>
      </c>
      <c r="J39" t="s">
        <v>145</v>
      </c>
      <c r="K39" t="s">
        <v>13</v>
      </c>
      <c r="L39" t="s">
        <v>13</v>
      </c>
    </row>
    <row r="40" spans="1:12" x14ac:dyDescent="0.5">
      <c r="A40" t="s">
        <v>146</v>
      </c>
      <c r="B40" t="str">
        <f>_xlfn.XLOOKUP(A40, 'sqft data'!A:A, 'sqft data'!C:C, "Not Found")</f>
        <v>Not Found</v>
      </c>
      <c r="C40">
        <f>_xlfn.XLOOKUP(A40, 'bedroom data'!A:A, 'bedroom data'!B:B, "Not Found")</f>
        <v>3</v>
      </c>
      <c r="D40">
        <f>_xlfn.XLOOKUP(A40, 'bathroom data'!A:A, 'bathroom data'!B:B, "Not Found")</f>
        <v>4.5</v>
      </c>
      <c r="E40" t="str">
        <f>_xlfn.XLOOKUP(A40, 'bedroom data'!A:A, 'bedroom data'!C:C, "Not Found")</f>
        <v>Arlington</v>
      </c>
      <c r="F40" t="s">
        <v>147</v>
      </c>
      <c r="G40" t="s">
        <v>148</v>
      </c>
      <c r="H40" t="s">
        <v>149</v>
      </c>
      <c r="I40">
        <v>0</v>
      </c>
      <c r="J40" t="s">
        <v>148</v>
      </c>
      <c r="K40" t="s">
        <v>13</v>
      </c>
      <c r="L40" t="s">
        <v>13</v>
      </c>
    </row>
    <row r="41" spans="1:12" x14ac:dyDescent="0.5">
      <c r="A41" t="s">
        <v>150</v>
      </c>
      <c r="B41" t="str">
        <f>_xlfn.XLOOKUP(A41, 'sqft data'!A:A, 'sqft data'!C:C, "Not Found")</f>
        <v>Not Found</v>
      </c>
      <c r="C41">
        <f>_xlfn.XLOOKUP(A41, 'bedroom data'!A:A, 'bedroom data'!B:B, "Not Found")</f>
        <v>2</v>
      </c>
      <c r="D41">
        <f>_xlfn.XLOOKUP(A41, 'bathroom data'!A:A, 'bathroom data'!B:B, "Not Found")</f>
        <v>2</v>
      </c>
      <c r="E41" t="str">
        <f>_xlfn.XLOOKUP(A41, 'bedroom data'!A:A, 'bedroom data'!C:C, "Not Found")</f>
        <v>Navy Yard</v>
      </c>
      <c r="F41" t="s">
        <v>151</v>
      </c>
      <c r="G41" t="s">
        <v>152</v>
      </c>
      <c r="H41" t="s">
        <v>153</v>
      </c>
      <c r="I41">
        <v>0</v>
      </c>
      <c r="J41" t="s">
        <v>152</v>
      </c>
      <c r="K41" t="s">
        <v>13</v>
      </c>
      <c r="L41" t="s">
        <v>13</v>
      </c>
    </row>
    <row r="42" spans="1:12" x14ac:dyDescent="0.5">
      <c r="A42" t="s">
        <v>154</v>
      </c>
      <c r="B42" t="str">
        <f>_xlfn.XLOOKUP(A42, 'sqft data'!A:A, 'sqft data'!C:C, "Not Found")</f>
        <v>Not Found</v>
      </c>
      <c r="C42">
        <f>_xlfn.XLOOKUP(A42, 'bedroom data'!A:A, 'bedroom data'!B:B, "Not Found")</f>
        <v>2</v>
      </c>
      <c r="D42">
        <f>_xlfn.XLOOKUP(A42, 'bathroom data'!A:A, 'bathroom data'!B:B, "Not Found")</f>
        <v>2</v>
      </c>
      <c r="E42" t="str">
        <f>_xlfn.XLOOKUP(A42, 'bedroom data'!A:A, 'bedroom data'!C:C, "Not Found")</f>
        <v>Navy Yard</v>
      </c>
      <c r="F42" t="s">
        <v>151</v>
      </c>
      <c r="G42" t="s">
        <v>155</v>
      </c>
      <c r="H42" t="s">
        <v>153</v>
      </c>
      <c r="I42">
        <v>0</v>
      </c>
      <c r="J42" t="s">
        <v>155</v>
      </c>
      <c r="K42" t="s">
        <v>13</v>
      </c>
      <c r="L42" t="s">
        <v>13</v>
      </c>
    </row>
    <row r="43" spans="1:12" x14ac:dyDescent="0.5">
      <c r="A43" t="s">
        <v>156</v>
      </c>
      <c r="B43" t="str">
        <f>_xlfn.XLOOKUP(A43, 'sqft data'!A:A, 'sqft data'!C:C, "Not Found")</f>
        <v>Not Found</v>
      </c>
      <c r="C43">
        <f>_xlfn.XLOOKUP(A43, 'bedroom data'!A:A, 'bedroom data'!B:B, "Not Found")</f>
        <v>2</v>
      </c>
      <c r="D43">
        <f>_xlfn.XLOOKUP(A43, 'bathroom data'!A:A, 'bathroom data'!B:B, "Not Found")</f>
        <v>2</v>
      </c>
      <c r="E43" t="str">
        <f>_xlfn.XLOOKUP(A43, 'bedroom data'!A:A, 'bedroom data'!C:C, "Not Found")</f>
        <v>Navy Yard</v>
      </c>
      <c r="F43" t="s">
        <v>151</v>
      </c>
      <c r="G43" t="s">
        <v>155</v>
      </c>
      <c r="H43" t="s">
        <v>153</v>
      </c>
      <c r="I43">
        <v>0</v>
      </c>
      <c r="J43" t="s">
        <v>155</v>
      </c>
      <c r="K43" t="s">
        <v>13</v>
      </c>
      <c r="L43" t="s">
        <v>13</v>
      </c>
    </row>
    <row r="44" spans="1:12" x14ac:dyDescent="0.5">
      <c r="A44" t="s">
        <v>157</v>
      </c>
      <c r="B44" t="str">
        <f>_xlfn.XLOOKUP(A44, 'sqft data'!A:A, 'sqft data'!C:C, "Not Found")</f>
        <v>Not Found</v>
      </c>
      <c r="C44">
        <f>_xlfn.XLOOKUP(A44, 'bedroom data'!A:A, 'bedroom data'!B:B, "Not Found")</f>
        <v>2</v>
      </c>
      <c r="D44">
        <f>_xlfn.XLOOKUP(A44, 'bathroom data'!A:A, 'bathroom data'!B:B, "Not Found")</f>
        <v>2</v>
      </c>
      <c r="E44" t="str">
        <f>_xlfn.XLOOKUP(A44, 'bedroom data'!A:A, 'bedroom data'!C:C, "Not Found")</f>
        <v>Navy Yard</v>
      </c>
      <c r="F44" t="s">
        <v>151</v>
      </c>
      <c r="G44" t="s">
        <v>155</v>
      </c>
      <c r="H44" t="s">
        <v>153</v>
      </c>
      <c r="I44">
        <v>0</v>
      </c>
      <c r="J44" t="s">
        <v>155</v>
      </c>
      <c r="K44" t="s">
        <v>13</v>
      </c>
      <c r="L44" t="s">
        <v>13</v>
      </c>
    </row>
    <row r="45" spans="1:12" x14ac:dyDescent="0.5">
      <c r="A45" t="s">
        <v>158</v>
      </c>
      <c r="B45" t="str">
        <f>_xlfn.XLOOKUP(A45, 'sqft data'!A:A, 'sqft data'!C:C, "Not Found")</f>
        <v>Not Found</v>
      </c>
      <c r="C45">
        <f>_xlfn.XLOOKUP(A45, 'bedroom data'!A:A, 'bedroom data'!B:B, "Not Found")</f>
        <v>2</v>
      </c>
      <c r="D45">
        <f>_xlfn.XLOOKUP(A45, 'bathroom data'!A:A, 'bathroom data'!B:B, "Not Found")</f>
        <v>2</v>
      </c>
      <c r="E45" t="str">
        <f>_xlfn.XLOOKUP(A45, 'bedroom data'!A:A, 'bedroom data'!C:C, "Not Found")</f>
        <v>Navy Yard</v>
      </c>
      <c r="F45" t="s">
        <v>151</v>
      </c>
      <c r="G45" t="s">
        <v>159</v>
      </c>
      <c r="H45" t="s">
        <v>153</v>
      </c>
      <c r="I45">
        <v>176</v>
      </c>
      <c r="J45" t="s">
        <v>160</v>
      </c>
      <c r="K45" t="s">
        <v>36</v>
      </c>
      <c r="L45" t="s">
        <v>36</v>
      </c>
    </row>
    <row r="46" spans="1:12" x14ac:dyDescent="0.5">
      <c r="A46" t="s">
        <v>161</v>
      </c>
      <c r="B46" t="str">
        <f>_xlfn.XLOOKUP(A46, 'sqft data'!A:A, 'sqft data'!C:C, "Not Found")</f>
        <v>Not Found</v>
      </c>
      <c r="C46">
        <f>_xlfn.XLOOKUP(A46, 'bedroom data'!A:A, 'bedroom data'!B:B, "Not Found")</f>
        <v>2</v>
      </c>
      <c r="D46">
        <f>_xlfn.XLOOKUP(A46, 'bathroom data'!A:A, 'bathroom data'!B:B, "Not Found")</f>
        <v>1</v>
      </c>
      <c r="E46" t="str">
        <f>_xlfn.XLOOKUP(A46, 'bedroom data'!A:A, 'bedroom data'!C:C, "Not Found")</f>
        <v>Penn Quarter</v>
      </c>
      <c r="F46" t="s">
        <v>162</v>
      </c>
      <c r="G46" t="s">
        <v>163</v>
      </c>
      <c r="H46" t="s">
        <v>137</v>
      </c>
      <c r="I46">
        <v>138</v>
      </c>
      <c r="J46" t="s">
        <v>164</v>
      </c>
      <c r="K46" t="s">
        <v>13</v>
      </c>
      <c r="L46" t="s">
        <v>36</v>
      </c>
    </row>
    <row r="47" spans="1:12" x14ac:dyDescent="0.5">
      <c r="A47" t="s">
        <v>165</v>
      </c>
      <c r="B47">
        <f>_xlfn.XLOOKUP(A47, 'sqft data'!A:A, 'sqft data'!C:C, "Not Found")</f>
        <v>2400</v>
      </c>
      <c r="C47">
        <f>_xlfn.XLOOKUP(A47, 'bedroom data'!A:A, 'bedroom data'!B:B, "Not Found")</f>
        <v>3</v>
      </c>
      <c r="D47">
        <f>_xlfn.XLOOKUP(A47, 'bathroom data'!A:A, 'bathroom data'!B:B, "Not Found")</f>
        <v>2.5</v>
      </c>
      <c r="E47" t="str">
        <f>_xlfn.XLOOKUP(A47, 'bedroom data'!A:A, 'bedroom data'!C:C, "Not Found")</f>
        <v>Capitol Hill</v>
      </c>
      <c r="F47" t="s">
        <v>166</v>
      </c>
      <c r="G47" t="s">
        <v>167</v>
      </c>
      <c r="H47" t="s">
        <v>168</v>
      </c>
      <c r="I47">
        <v>205</v>
      </c>
      <c r="J47" t="s">
        <v>169</v>
      </c>
      <c r="K47" t="s">
        <v>13</v>
      </c>
      <c r="L47" t="s">
        <v>36</v>
      </c>
    </row>
    <row r="48" spans="1:12" x14ac:dyDescent="0.5">
      <c r="A48" t="s">
        <v>165</v>
      </c>
      <c r="B48">
        <f>_xlfn.XLOOKUP(A48, 'sqft data'!A:A, 'sqft data'!C:C, "Not Found")</f>
        <v>2400</v>
      </c>
      <c r="C48">
        <f>_xlfn.XLOOKUP(A48, 'bedroom data'!A:A, 'bedroom data'!B:B, "Not Found")</f>
        <v>3</v>
      </c>
      <c r="D48">
        <f>_xlfn.XLOOKUP(A48, 'bathroom data'!A:A, 'bathroom data'!B:B, "Not Found")</f>
        <v>2.5</v>
      </c>
      <c r="E48" t="str">
        <f>_xlfn.XLOOKUP(A48, 'bedroom data'!A:A, 'bedroom data'!C:C, "Not Found")</f>
        <v>Capitol Hill</v>
      </c>
      <c r="F48" t="s">
        <v>166</v>
      </c>
      <c r="G48" t="s">
        <v>170</v>
      </c>
      <c r="H48" t="s">
        <v>171</v>
      </c>
      <c r="I48">
        <v>205</v>
      </c>
      <c r="J48" t="s">
        <v>172</v>
      </c>
      <c r="K48" t="s">
        <v>13</v>
      </c>
      <c r="L48" t="s">
        <v>36</v>
      </c>
    </row>
    <row r="49" spans="1:12" x14ac:dyDescent="0.5">
      <c r="A49" t="s">
        <v>165</v>
      </c>
      <c r="B49">
        <f>_xlfn.XLOOKUP(A49, 'sqft data'!A:A, 'sqft data'!C:C, "Not Found")</f>
        <v>2400</v>
      </c>
      <c r="C49">
        <f>_xlfn.XLOOKUP(A49, 'bedroom data'!A:A, 'bedroom data'!B:B, "Not Found")</f>
        <v>3</v>
      </c>
      <c r="D49">
        <f>_xlfn.XLOOKUP(A49, 'bathroom data'!A:A, 'bathroom data'!B:B, "Not Found")</f>
        <v>2.5</v>
      </c>
      <c r="E49" t="str">
        <f>_xlfn.XLOOKUP(A49, 'bedroom data'!A:A, 'bedroom data'!C:C, "Not Found")</f>
        <v>Capitol Hill</v>
      </c>
      <c r="F49" t="s">
        <v>166</v>
      </c>
      <c r="G49" t="s">
        <v>91</v>
      </c>
      <c r="H49" t="s">
        <v>68</v>
      </c>
      <c r="I49">
        <v>193</v>
      </c>
      <c r="J49" t="s">
        <v>173</v>
      </c>
      <c r="K49" t="s">
        <v>36</v>
      </c>
      <c r="L49" t="s">
        <v>13</v>
      </c>
    </row>
    <row r="50" spans="1:12" x14ac:dyDescent="0.5">
      <c r="A50" t="s">
        <v>165</v>
      </c>
      <c r="B50">
        <f>_xlfn.XLOOKUP(A50, 'sqft data'!A:A, 'sqft data'!C:C, "Not Found")</f>
        <v>2400</v>
      </c>
      <c r="C50">
        <f>_xlfn.XLOOKUP(A50, 'bedroom data'!A:A, 'bedroom data'!B:B, "Not Found")</f>
        <v>3</v>
      </c>
      <c r="D50">
        <f>_xlfn.XLOOKUP(A50, 'bathroom data'!A:A, 'bathroom data'!B:B, "Not Found")</f>
        <v>2.5</v>
      </c>
      <c r="E50" t="str">
        <f>_xlfn.XLOOKUP(A50, 'bedroom data'!A:A, 'bedroom data'!C:C, "Not Found")</f>
        <v>Capitol Hill</v>
      </c>
      <c r="F50" t="s">
        <v>166</v>
      </c>
      <c r="G50" t="s">
        <v>174</v>
      </c>
      <c r="H50" t="s">
        <v>175</v>
      </c>
      <c r="I50">
        <v>199</v>
      </c>
      <c r="J50" t="s">
        <v>108</v>
      </c>
      <c r="K50" t="s">
        <v>36</v>
      </c>
      <c r="L50" t="s">
        <v>13</v>
      </c>
    </row>
    <row r="51" spans="1:12" x14ac:dyDescent="0.5">
      <c r="A51" t="s">
        <v>176</v>
      </c>
      <c r="B51">
        <f>_xlfn.XLOOKUP(A51, 'sqft data'!A:A, 'sqft data'!C:C, "Not Found")</f>
        <v>950</v>
      </c>
      <c r="C51">
        <f>_xlfn.XLOOKUP(A51, 'bedroom data'!A:A, 'bedroom data'!B:B, "Not Found")</f>
        <v>2</v>
      </c>
      <c r="D51">
        <f>_xlfn.XLOOKUP(A51, 'bathroom data'!A:A, 'bathroom data'!B:B, "Not Found")</f>
        <v>1.5</v>
      </c>
      <c r="E51" t="str">
        <f>_xlfn.XLOOKUP(A51, 'bedroom data'!A:A, 'bedroom data'!C:C, "Not Found")</f>
        <v>Capitol Hill</v>
      </c>
      <c r="F51" t="s">
        <v>166</v>
      </c>
      <c r="G51" t="s">
        <v>87</v>
      </c>
      <c r="H51" t="s">
        <v>177</v>
      </c>
      <c r="I51">
        <v>82.44</v>
      </c>
      <c r="J51" t="s">
        <v>178</v>
      </c>
      <c r="K51" t="s">
        <v>36</v>
      </c>
      <c r="L51" t="s">
        <v>36</v>
      </c>
    </row>
    <row r="52" spans="1:12" x14ac:dyDescent="0.5">
      <c r="A52" t="s">
        <v>176</v>
      </c>
      <c r="B52">
        <f>_xlfn.XLOOKUP(A52, 'sqft data'!A:A, 'sqft data'!C:C, "Not Found")</f>
        <v>950</v>
      </c>
      <c r="C52">
        <f>_xlfn.XLOOKUP(A52, 'bedroom data'!A:A, 'bedroom data'!B:B, "Not Found")</f>
        <v>2</v>
      </c>
      <c r="D52">
        <f>_xlfn.XLOOKUP(A52, 'bathroom data'!A:A, 'bathroom data'!B:B, "Not Found")</f>
        <v>1.5</v>
      </c>
      <c r="E52" t="str">
        <f>_xlfn.XLOOKUP(A52, 'bedroom data'!A:A, 'bedroom data'!C:C, "Not Found")</f>
        <v>Capitol Hill</v>
      </c>
      <c r="F52" t="s">
        <v>166</v>
      </c>
      <c r="G52" t="s">
        <v>179</v>
      </c>
      <c r="H52" t="s">
        <v>180</v>
      </c>
      <c r="I52">
        <v>97</v>
      </c>
      <c r="J52" t="s">
        <v>181</v>
      </c>
      <c r="K52" t="s">
        <v>13</v>
      </c>
      <c r="L52" t="s">
        <v>13</v>
      </c>
    </row>
    <row r="53" spans="1:12" x14ac:dyDescent="0.5">
      <c r="A53" t="s">
        <v>176</v>
      </c>
      <c r="B53">
        <f>_xlfn.XLOOKUP(A53, 'sqft data'!A:A, 'sqft data'!C:C, "Not Found")</f>
        <v>950</v>
      </c>
      <c r="C53">
        <f>_xlfn.XLOOKUP(A53, 'bedroom data'!A:A, 'bedroom data'!B:B, "Not Found")</f>
        <v>2</v>
      </c>
      <c r="D53">
        <f>_xlfn.XLOOKUP(A53, 'bathroom data'!A:A, 'bathroom data'!B:B, "Not Found")</f>
        <v>1.5</v>
      </c>
      <c r="E53" t="str">
        <f>_xlfn.XLOOKUP(A53, 'bedroom data'!A:A, 'bedroom data'!C:C, "Not Found")</f>
        <v>Capitol Hill</v>
      </c>
      <c r="F53" t="s">
        <v>166</v>
      </c>
      <c r="G53" t="s">
        <v>182</v>
      </c>
      <c r="H53" t="s">
        <v>183</v>
      </c>
      <c r="I53">
        <v>126</v>
      </c>
      <c r="J53" t="s">
        <v>184</v>
      </c>
      <c r="K53" t="s">
        <v>13</v>
      </c>
      <c r="L53" t="s">
        <v>36</v>
      </c>
    </row>
    <row r="54" spans="1:12" x14ac:dyDescent="0.5">
      <c r="A54" t="s">
        <v>185</v>
      </c>
      <c r="B54">
        <f>_xlfn.XLOOKUP(A54, 'sqft data'!A:A, 'sqft data'!C:C, "Not Found")</f>
        <v>800</v>
      </c>
      <c r="C54">
        <f>_xlfn.XLOOKUP(A54, 'bedroom data'!A:A, 'bedroom data'!B:B, "Not Found")</f>
        <v>1</v>
      </c>
      <c r="D54">
        <f>_xlfn.XLOOKUP(A54, 'bathroom data'!A:A, 'bathroom data'!B:B, "Not Found")</f>
        <v>1</v>
      </c>
      <c r="E54" t="str">
        <f>_xlfn.XLOOKUP(A54, 'bedroom data'!A:A, 'bedroom data'!C:C, "Not Found")</f>
        <v>Capitol Hill</v>
      </c>
      <c r="F54" t="s">
        <v>186</v>
      </c>
      <c r="G54" t="s">
        <v>187</v>
      </c>
      <c r="H54" t="s">
        <v>113</v>
      </c>
      <c r="I54">
        <v>0</v>
      </c>
      <c r="J54" t="s">
        <v>188</v>
      </c>
      <c r="K54" t="s">
        <v>13</v>
      </c>
      <c r="L54" t="s">
        <v>13</v>
      </c>
    </row>
    <row r="55" spans="1:12" x14ac:dyDescent="0.5">
      <c r="A55" t="s">
        <v>185</v>
      </c>
      <c r="B55">
        <f>_xlfn.XLOOKUP(A55, 'sqft data'!A:A, 'sqft data'!C:C, "Not Found")</f>
        <v>800</v>
      </c>
      <c r="C55">
        <f>_xlfn.XLOOKUP(A55, 'bedroom data'!A:A, 'bedroom data'!B:B, "Not Found")</f>
        <v>1</v>
      </c>
      <c r="D55">
        <f>_xlfn.XLOOKUP(A55, 'bathroom data'!A:A, 'bathroom data'!B:B, "Not Found")</f>
        <v>1</v>
      </c>
      <c r="E55" t="str">
        <f>_xlfn.XLOOKUP(A55, 'bedroom data'!A:A, 'bedroom data'!C:C, "Not Found")</f>
        <v>Capitol Hill</v>
      </c>
      <c r="F55" t="s">
        <v>186</v>
      </c>
      <c r="G55" t="s">
        <v>189</v>
      </c>
      <c r="H55" t="s">
        <v>190</v>
      </c>
      <c r="I55">
        <v>103</v>
      </c>
      <c r="J55" t="s">
        <v>191</v>
      </c>
      <c r="K55" t="s">
        <v>13</v>
      </c>
      <c r="L55" t="s">
        <v>13</v>
      </c>
    </row>
    <row r="56" spans="1:12" x14ac:dyDescent="0.5">
      <c r="A56" t="s">
        <v>185</v>
      </c>
      <c r="B56">
        <f>_xlfn.XLOOKUP(A56, 'sqft data'!A:A, 'sqft data'!C:C, "Not Found")</f>
        <v>800</v>
      </c>
      <c r="C56">
        <f>_xlfn.XLOOKUP(A56, 'bedroom data'!A:A, 'bedroom data'!B:B, "Not Found")</f>
        <v>1</v>
      </c>
      <c r="D56">
        <f>_xlfn.XLOOKUP(A56, 'bathroom data'!A:A, 'bathroom data'!B:B, "Not Found")</f>
        <v>1</v>
      </c>
      <c r="E56" t="str">
        <f>_xlfn.XLOOKUP(A56, 'bedroom data'!A:A, 'bedroom data'!C:C, "Not Found")</f>
        <v>Capitol Hill</v>
      </c>
      <c r="F56" t="s">
        <v>186</v>
      </c>
      <c r="G56" t="s">
        <v>192</v>
      </c>
      <c r="H56" t="s">
        <v>193</v>
      </c>
      <c r="I56">
        <v>103</v>
      </c>
      <c r="J56" t="s">
        <v>194</v>
      </c>
      <c r="K56" t="s">
        <v>36</v>
      </c>
      <c r="L56" t="s">
        <v>13</v>
      </c>
    </row>
    <row r="57" spans="1:12" x14ac:dyDescent="0.5">
      <c r="A57" t="s">
        <v>185</v>
      </c>
      <c r="B57">
        <f>_xlfn.XLOOKUP(A57, 'sqft data'!A:A, 'sqft data'!C:C, "Not Found")</f>
        <v>800</v>
      </c>
      <c r="C57">
        <f>_xlfn.XLOOKUP(A57, 'bedroom data'!A:A, 'bedroom data'!B:B, "Not Found")</f>
        <v>1</v>
      </c>
      <c r="D57">
        <f>_xlfn.XLOOKUP(A57, 'bathroom data'!A:A, 'bathroom data'!B:B, "Not Found")</f>
        <v>1</v>
      </c>
      <c r="E57" t="str">
        <f>_xlfn.XLOOKUP(A57, 'bedroom data'!A:A, 'bedroom data'!C:C, "Not Found")</f>
        <v>Capitol Hill</v>
      </c>
      <c r="F57" t="s">
        <v>186</v>
      </c>
      <c r="G57" t="s">
        <v>195</v>
      </c>
      <c r="H57" t="s">
        <v>196</v>
      </c>
      <c r="I57">
        <v>0</v>
      </c>
      <c r="J57" t="s">
        <v>195</v>
      </c>
      <c r="K57" t="s">
        <v>13</v>
      </c>
      <c r="L57" t="s">
        <v>13</v>
      </c>
    </row>
    <row r="58" spans="1:12" x14ac:dyDescent="0.5">
      <c r="A58" t="s">
        <v>185</v>
      </c>
      <c r="B58">
        <f>_xlfn.XLOOKUP(A58, 'sqft data'!A:A, 'sqft data'!C:C, "Not Found")</f>
        <v>800</v>
      </c>
      <c r="C58">
        <f>_xlfn.XLOOKUP(A58, 'bedroom data'!A:A, 'bedroom data'!B:B, "Not Found")</f>
        <v>1</v>
      </c>
      <c r="D58">
        <f>_xlfn.XLOOKUP(A58, 'bathroom data'!A:A, 'bathroom data'!B:B, "Not Found")</f>
        <v>1</v>
      </c>
      <c r="E58" t="str">
        <f>_xlfn.XLOOKUP(A58, 'bedroom data'!A:A, 'bedroom data'!C:C, "Not Found")</f>
        <v>Capitol Hill</v>
      </c>
      <c r="F58" t="s">
        <v>186</v>
      </c>
      <c r="G58" t="s">
        <v>128</v>
      </c>
      <c r="H58" t="s">
        <v>197</v>
      </c>
      <c r="I58">
        <v>93</v>
      </c>
      <c r="J58" t="s">
        <v>198</v>
      </c>
      <c r="K58" t="s">
        <v>13</v>
      </c>
      <c r="L58" t="s">
        <v>13</v>
      </c>
    </row>
    <row r="59" spans="1:12" x14ac:dyDescent="0.5">
      <c r="A59" t="s">
        <v>185</v>
      </c>
      <c r="B59">
        <f>_xlfn.XLOOKUP(A59, 'sqft data'!A:A, 'sqft data'!C:C, "Not Found")</f>
        <v>800</v>
      </c>
      <c r="C59">
        <f>_xlfn.XLOOKUP(A59, 'bedroom data'!A:A, 'bedroom data'!B:B, "Not Found")</f>
        <v>1</v>
      </c>
      <c r="D59">
        <f>_xlfn.XLOOKUP(A59, 'bathroom data'!A:A, 'bathroom data'!B:B, "Not Found")</f>
        <v>1</v>
      </c>
      <c r="E59" t="str">
        <f>_xlfn.XLOOKUP(A59, 'bedroom data'!A:A, 'bedroom data'!C:C, "Not Found")</f>
        <v>Capitol Hill</v>
      </c>
      <c r="F59" t="s">
        <v>186</v>
      </c>
      <c r="G59" t="s">
        <v>199</v>
      </c>
      <c r="H59" t="s">
        <v>200</v>
      </c>
      <c r="I59">
        <v>109</v>
      </c>
      <c r="J59" t="s">
        <v>201</v>
      </c>
      <c r="K59" t="s">
        <v>36</v>
      </c>
      <c r="L59" t="s">
        <v>13</v>
      </c>
    </row>
    <row r="60" spans="1:12" x14ac:dyDescent="0.5">
      <c r="A60" t="s">
        <v>202</v>
      </c>
      <c r="B60">
        <f>_xlfn.XLOOKUP(A60, 'sqft data'!A:A, 'sqft data'!C:C, "Not Found")</f>
        <v>3900</v>
      </c>
      <c r="C60">
        <f>_xlfn.XLOOKUP(A60, 'bedroom data'!A:A, 'bedroom data'!B:B, "Not Found")</f>
        <v>4</v>
      </c>
      <c r="D60">
        <v>4.5</v>
      </c>
      <c r="E60" t="str">
        <f>_xlfn.XLOOKUP(A60, 'bedroom data'!A:A, 'bedroom data'!C:C, "Not Found")</f>
        <v>Capitol Hill</v>
      </c>
      <c r="F60" t="s">
        <v>186</v>
      </c>
      <c r="G60" t="s">
        <v>203</v>
      </c>
      <c r="H60" t="s">
        <v>204</v>
      </c>
      <c r="I60">
        <v>250</v>
      </c>
      <c r="J60" t="s">
        <v>205</v>
      </c>
      <c r="K60" t="s">
        <v>13</v>
      </c>
      <c r="L60" t="s">
        <v>13</v>
      </c>
    </row>
    <row r="61" spans="1:12" x14ac:dyDescent="0.5">
      <c r="A61" t="s">
        <v>206</v>
      </c>
      <c r="B61">
        <f>_xlfn.XLOOKUP(A61, 'sqft data'!A:A, 'sqft data'!C:C, "Not Found")</f>
        <v>750</v>
      </c>
      <c r="C61">
        <f>_xlfn.XLOOKUP(A61, 'bedroom data'!A:A, 'bedroom data'!B:B, "Not Found")</f>
        <v>1</v>
      </c>
      <c r="D61">
        <f>_xlfn.XLOOKUP(A61, 'bathroom data'!A:A, 'bathroom data'!B:B, "Not Found")</f>
        <v>1</v>
      </c>
      <c r="E61" t="str">
        <f>_xlfn.XLOOKUP(A61, 'bedroom data'!A:A, 'bedroom data'!C:C, "Not Found")</f>
        <v>Penn Quarter</v>
      </c>
      <c r="F61" t="s">
        <v>207</v>
      </c>
      <c r="G61" t="s">
        <v>208</v>
      </c>
      <c r="H61" t="s">
        <v>209</v>
      </c>
      <c r="I61">
        <v>100</v>
      </c>
      <c r="J61" t="s">
        <v>210</v>
      </c>
      <c r="K61" t="s">
        <v>13</v>
      </c>
      <c r="L61" t="s">
        <v>13</v>
      </c>
    </row>
    <row r="62" spans="1:12" x14ac:dyDescent="0.5">
      <c r="A62" t="s">
        <v>211</v>
      </c>
      <c r="B62" t="str">
        <f>_xlfn.XLOOKUP(A62, 'sqft data'!A:A, 'sqft data'!C:C, "Not Found")</f>
        <v>Not Found</v>
      </c>
      <c r="C62">
        <f>_xlfn.XLOOKUP(A62, 'bedroom data'!A:A, 'bedroom data'!B:B, "Not Found")</f>
        <v>3</v>
      </c>
      <c r="D62">
        <f>_xlfn.XLOOKUP(A62, 'bathroom data'!A:A, 'bathroom data'!B:B, "Not Found")</f>
        <v>3</v>
      </c>
      <c r="E62" t="str">
        <f>_xlfn.XLOOKUP(A62, 'bedroom data'!A:A, 'bedroom data'!C:C, "Not Found")</f>
        <v>Arlington</v>
      </c>
      <c r="F62" t="s">
        <v>212</v>
      </c>
      <c r="G62" t="s">
        <v>213</v>
      </c>
      <c r="H62" t="s">
        <v>214</v>
      </c>
      <c r="I62">
        <v>220</v>
      </c>
      <c r="J62" t="s">
        <v>215</v>
      </c>
      <c r="K62" t="s">
        <v>36</v>
      </c>
      <c r="L62" t="s">
        <v>36</v>
      </c>
    </row>
    <row r="63" spans="1:12" x14ac:dyDescent="0.5">
      <c r="A63" t="s">
        <v>216</v>
      </c>
      <c r="B63">
        <f>_xlfn.XLOOKUP(A63, 'sqft data'!A:A, 'sqft data'!C:C, "Not Found")</f>
        <v>1800</v>
      </c>
      <c r="C63">
        <f>_xlfn.XLOOKUP(A63, 'bedroom data'!A:A, 'bedroom data'!B:B, "Not Found")</f>
        <v>2</v>
      </c>
      <c r="D63">
        <f>_xlfn.XLOOKUP(A63, 'bathroom data'!A:A, 'bathroom data'!B:B, "Not Found")</f>
        <v>2</v>
      </c>
      <c r="E63" t="str">
        <f>_xlfn.XLOOKUP(A63, 'bedroom data'!A:A, 'bedroom data'!C:C, "Not Found")</f>
        <v>Capitol Hill</v>
      </c>
      <c r="F63" t="s">
        <v>217</v>
      </c>
      <c r="G63" t="s">
        <v>218</v>
      </c>
      <c r="H63" t="s">
        <v>219</v>
      </c>
      <c r="I63">
        <v>264</v>
      </c>
      <c r="J63" t="s">
        <v>218</v>
      </c>
      <c r="K63" t="s">
        <v>13</v>
      </c>
      <c r="L63" t="s">
        <v>13</v>
      </c>
    </row>
    <row r="64" spans="1:12" x14ac:dyDescent="0.5">
      <c r="A64" t="s">
        <v>216</v>
      </c>
      <c r="B64">
        <f>_xlfn.XLOOKUP(A64, 'sqft data'!A:A, 'sqft data'!C:C, "Not Found")</f>
        <v>1800</v>
      </c>
      <c r="C64">
        <f>_xlfn.XLOOKUP(A64, 'bedroom data'!A:A, 'bedroom data'!B:B, "Not Found")</f>
        <v>2</v>
      </c>
      <c r="D64">
        <f>_xlfn.XLOOKUP(A64, 'bathroom data'!A:A, 'bathroom data'!B:B, "Not Found")</f>
        <v>2</v>
      </c>
      <c r="E64" t="str">
        <f>_xlfn.XLOOKUP(A64, 'bedroom data'!A:A, 'bedroom data'!C:C, "Not Found")</f>
        <v>Capitol Hill</v>
      </c>
      <c r="F64" t="s">
        <v>217</v>
      </c>
      <c r="G64" t="s">
        <v>107</v>
      </c>
      <c r="H64" t="s">
        <v>220</v>
      </c>
      <c r="I64">
        <v>264</v>
      </c>
      <c r="J64" t="s">
        <v>221</v>
      </c>
      <c r="K64" t="s">
        <v>13</v>
      </c>
      <c r="L64" t="s">
        <v>13</v>
      </c>
    </row>
    <row r="65" spans="1:12" x14ac:dyDescent="0.5">
      <c r="A65" t="s">
        <v>222</v>
      </c>
      <c r="B65">
        <f>_xlfn.XLOOKUP(A65, 'sqft data'!A:A, 'sqft data'!C:C, "Not Found")</f>
        <v>3000</v>
      </c>
      <c r="C65">
        <f>_xlfn.XLOOKUP(A65, 'bedroom data'!A:A, 'bedroom data'!B:B, "Not Found")</f>
        <v>3</v>
      </c>
      <c r="D65">
        <f>_xlfn.XLOOKUP(A65, 'bathroom data'!A:A, 'bathroom data'!B:B, "Not Found")</f>
        <v>2.5</v>
      </c>
      <c r="E65" t="str">
        <f>_xlfn.XLOOKUP(A65, 'bedroom data'!A:A, 'bedroom data'!C:C, "Not Found")</f>
        <v>Capitol Hill</v>
      </c>
      <c r="F65" t="s">
        <v>223</v>
      </c>
      <c r="G65" t="s">
        <v>224</v>
      </c>
      <c r="H65" t="s">
        <v>63</v>
      </c>
      <c r="I65">
        <v>0</v>
      </c>
      <c r="J65" t="s">
        <v>224</v>
      </c>
      <c r="K65" t="s">
        <v>13</v>
      </c>
      <c r="L65" t="s">
        <v>13</v>
      </c>
    </row>
    <row r="66" spans="1:12" x14ac:dyDescent="0.5">
      <c r="A66" t="s">
        <v>222</v>
      </c>
      <c r="B66">
        <f>_xlfn.XLOOKUP(A66, 'sqft data'!A:A, 'sqft data'!C:C, "Not Found")</f>
        <v>3000</v>
      </c>
      <c r="C66">
        <f>_xlfn.XLOOKUP(A66, 'bedroom data'!A:A, 'bedroom data'!B:B, "Not Found")</f>
        <v>3</v>
      </c>
      <c r="D66">
        <f>_xlfn.XLOOKUP(A66, 'bathroom data'!A:A, 'bathroom data'!B:B, "Not Found")</f>
        <v>2.5</v>
      </c>
      <c r="E66" t="str">
        <f>_xlfn.XLOOKUP(A66, 'bedroom data'!A:A, 'bedroom data'!C:C, "Not Found")</f>
        <v>Capitol Hill</v>
      </c>
      <c r="F66" t="s">
        <v>223</v>
      </c>
      <c r="G66" t="s">
        <v>225</v>
      </c>
      <c r="H66" t="s">
        <v>226</v>
      </c>
      <c r="I66">
        <v>227</v>
      </c>
      <c r="J66" t="s">
        <v>133</v>
      </c>
      <c r="K66" t="s">
        <v>36</v>
      </c>
      <c r="L66" t="s">
        <v>36</v>
      </c>
    </row>
    <row r="67" spans="1:12" x14ac:dyDescent="0.5">
      <c r="A67" t="s">
        <v>222</v>
      </c>
      <c r="B67">
        <f>_xlfn.XLOOKUP(A67, 'sqft data'!A:A, 'sqft data'!C:C, "Not Found")</f>
        <v>3000</v>
      </c>
      <c r="C67">
        <f>_xlfn.XLOOKUP(A67, 'bedroom data'!A:A, 'bedroom data'!B:B, "Not Found")</f>
        <v>3</v>
      </c>
      <c r="D67">
        <f>_xlfn.XLOOKUP(A67, 'bathroom data'!A:A, 'bathroom data'!B:B, "Not Found")</f>
        <v>2.5</v>
      </c>
      <c r="E67" t="str">
        <f>_xlfn.XLOOKUP(A67, 'bedroom data'!A:A, 'bedroom data'!C:C, "Not Found")</f>
        <v>Capitol Hill</v>
      </c>
      <c r="F67" t="s">
        <v>223</v>
      </c>
      <c r="G67" t="s">
        <v>171</v>
      </c>
      <c r="H67" t="s">
        <v>182</v>
      </c>
      <c r="I67">
        <v>195</v>
      </c>
      <c r="J67" t="s">
        <v>227</v>
      </c>
      <c r="K67" t="s">
        <v>13</v>
      </c>
      <c r="L67" t="s">
        <v>36</v>
      </c>
    </row>
    <row r="68" spans="1:12" x14ac:dyDescent="0.5">
      <c r="A68" t="s">
        <v>222</v>
      </c>
      <c r="B68">
        <f>_xlfn.XLOOKUP(A68, 'sqft data'!A:A, 'sqft data'!C:C, "Not Found")</f>
        <v>3000</v>
      </c>
      <c r="C68">
        <f>_xlfn.XLOOKUP(A68, 'bedroom data'!A:A, 'bedroom data'!B:B, "Not Found")</f>
        <v>3</v>
      </c>
      <c r="D68">
        <f>_xlfn.XLOOKUP(A68, 'bathroom data'!A:A, 'bathroom data'!B:B, "Not Found")</f>
        <v>2.5</v>
      </c>
      <c r="E68" t="str">
        <f>_xlfn.XLOOKUP(A68, 'bedroom data'!A:A, 'bedroom data'!C:C, "Not Found")</f>
        <v>Capitol Hill</v>
      </c>
      <c r="F68" t="s">
        <v>223</v>
      </c>
      <c r="G68" t="s">
        <v>228</v>
      </c>
      <c r="H68" t="s">
        <v>229</v>
      </c>
      <c r="I68">
        <v>244</v>
      </c>
      <c r="J68" t="s">
        <v>230</v>
      </c>
      <c r="K68" t="s">
        <v>36</v>
      </c>
      <c r="L68" t="s">
        <v>13</v>
      </c>
    </row>
    <row r="69" spans="1:12" x14ac:dyDescent="0.5">
      <c r="A69" t="s">
        <v>222</v>
      </c>
      <c r="B69">
        <f>_xlfn.XLOOKUP(A69, 'sqft data'!A:A, 'sqft data'!C:C, "Not Found")</f>
        <v>3000</v>
      </c>
      <c r="C69">
        <f>_xlfn.XLOOKUP(A69, 'bedroom data'!A:A, 'bedroom data'!B:B, "Not Found")</f>
        <v>3</v>
      </c>
      <c r="D69">
        <f>_xlfn.XLOOKUP(A69, 'bathroom data'!A:A, 'bathroom data'!B:B, "Not Found")</f>
        <v>2.5</v>
      </c>
      <c r="E69" t="str">
        <f>_xlfn.XLOOKUP(A69, 'bedroom data'!A:A, 'bedroom data'!C:C, "Not Found")</f>
        <v>Capitol Hill</v>
      </c>
      <c r="F69" t="s">
        <v>223</v>
      </c>
      <c r="G69" t="s">
        <v>231</v>
      </c>
      <c r="H69" t="s">
        <v>232</v>
      </c>
      <c r="I69">
        <v>235</v>
      </c>
      <c r="J69" t="s">
        <v>123</v>
      </c>
      <c r="K69" t="s">
        <v>36</v>
      </c>
      <c r="L69" t="s">
        <v>36</v>
      </c>
    </row>
    <row r="70" spans="1:12" x14ac:dyDescent="0.5">
      <c r="A70" t="s">
        <v>222</v>
      </c>
      <c r="B70">
        <f>_xlfn.XLOOKUP(A70, 'sqft data'!A:A, 'sqft data'!C:C, "Not Found")</f>
        <v>3000</v>
      </c>
      <c r="C70">
        <f>_xlfn.XLOOKUP(A70, 'bedroom data'!A:A, 'bedroom data'!B:B, "Not Found")</f>
        <v>3</v>
      </c>
      <c r="D70">
        <f>_xlfn.XLOOKUP(A70, 'bathroom data'!A:A, 'bathroom data'!B:B, "Not Found")</f>
        <v>2.5</v>
      </c>
      <c r="E70" t="str">
        <f>_xlfn.XLOOKUP(A70, 'bedroom data'!A:A, 'bedroom data'!C:C, "Not Found")</f>
        <v>Capitol Hill</v>
      </c>
      <c r="F70" t="s">
        <v>223</v>
      </c>
      <c r="G70" t="s">
        <v>233</v>
      </c>
      <c r="H70" t="s">
        <v>234</v>
      </c>
      <c r="I70">
        <v>100</v>
      </c>
      <c r="J70" t="s">
        <v>235</v>
      </c>
      <c r="K70" t="s">
        <v>13</v>
      </c>
      <c r="L70" t="s">
        <v>13</v>
      </c>
    </row>
    <row r="71" spans="1:12" x14ac:dyDescent="0.5">
      <c r="A71" t="s">
        <v>236</v>
      </c>
      <c r="B71">
        <f>_xlfn.XLOOKUP(A71, 'sqft data'!A:A, 'sqft data'!C:C, "Not Found")</f>
        <v>900</v>
      </c>
      <c r="C71">
        <f>_xlfn.XLOOKUP(A71, 'bedroom data'!A:A, 'bedroom data'!B:B, "Not Found")</f>
        <v>1</v>
      </c>
      <c r="D71">
        <f>_xlfn.XLOOKUP(A71, 'bathroom data'!A:A, 'bathroom data'!B:B, "Not Found")</f>
        <v>1</v>
      </c>
      <c r="E71" t="str">
        <f>_xlfn.XLOOKUP(A71, 'bedroom data'!A:A, 'bedroom data'!C:C, "Not Found")</f>
        <v>Capitol Hill</v>
      </c>
      <c r="F71" t="s">
        <v>223</v>
      </c>
      <c r="G71" t="s">
        <v>237</v>
      </c>
      <c r="H71" t="s">
        <v>238</v>
      </c>
      <c r="I71">
        <v>104.11</v>
      </c>
      <c r="J71" t="s">
        <v>197</v>
      </c>
      <c r="K71" t="s">
        <v>13</v>
      </c>
      <c r="L71" t="s">
        <v>13</v>
      </c>
    </row>
    <row r="72" spans="1:12" x14ac:dyDescent="0.5">
      <c r="A72" t="s">
        <v>236</v>
      </c>
      <c r="B72">
        <f>_xlfn.XLOOKUP(A72, 'sqft data'!A:A, 'sqft data'!C:C, "Not Found")</f>
        <v>900</v>
      </c>
      <c r="C72">
        <f>_xlfn.XLOOKUP(A72, 'bedroom data'!A:A, 'bedroom data'!B:B, "Not Found")</f>
        <v>1</v>
      </c>
      <c r="D72">
        <f>_xlfn.XLOOKUP(A72, 'bathroom data'!A:A, 'bathroom data'!B:B, "Not Found")</f>
        <v>1</v>
      </c>
      <c r="E72" t="str">
        <f>_xlfn.XLOOKUP(A72, 'bedroom data'!A:A, 'bedroom data'!C:C, "Not Found")</f>
        <v>Capitol Hill</v>
      </c>
      <c r="F72" t="s">
        <v>223</v>
      </c>
      <c r="G72" t="s">
        <v>239</v>
      </c>
      <c r="H72" t="s">
        <v>240</v>
      </c>
      <c r="I72">
        <v>100</v>
      </c>
      <c r="J72" t="s">
        <v>235</v>
      </c>
      <c r="K72" t="s">
        <v>13</v>
      </c>
      <c r="L72" t="s">
        <v>13</v>
      </c>
    </row>
    <row r="73" spans="1:12" x14ac:dyDescent="0.5">
      <c r="A73" t="s">
        <v>241</v>
      </c>
      <c r="B73">
        <f>_xlfn.XLOOKUP(A73, 'sqft data'!A:A, 'sqft data'!C:C, "Not Found")</f>
        <v>850</v>
      </c>
      <c r="C73">
        <f>_xlfn.XLOOKUP(A73, 'bedroom data'!A:A, 'bedroom data'!B:B, "Not Found")</f>
        <v>1</v>
      </c>
      <c r="D73">
        <f>_xlfn.XLOOKUP(A73, 'bathroom data'!A:A, 'bathroom data'!B:B, "Not Found")</f>
        <v>2</v>
      </c>
      <c r="E73" t="str">
        <f>_xlfn.XLOOKUP(A73, 'bedroom data'!A:A, 'bedroom data'!C:C, "Not Found")</f>
        <v>Shepherd Park</v>
      </c>
      <c r="F73" t="s">
        <v>242</v>
      </c>
      <c r="G73" t="s">
        <v>243</v>
      </c>
      <c r="H73" t="s">
        <v>244</v>
      </c>
      <c r="I73">
        <v>100</v>
      </c>
      <c r="J73" t="s">
        <v>245</v>
      </c>
      <c r="K73" t="s">
        <v>36</v>
      </c>
      <c r="L73" t="s">
        <v>13</v>
      </c>
    </row>
    <row r="74" spans="1:12" x14ac:dyDescent="0.5">
      <c r="A74" t="s">
        <v>246</v>
      </c>
      <c r="B74">
        <f>_xlfn.XLOOKUP(A74, 'sqft data'!A:A, 'sqft data'!C:C, "Not Found")</f>
        <v>760</v>
      </c>
      <c r="C74">
        <f>_xlfn.XLOOKUP(A74, 'bedroom data'!A:A, 'bedroom data'!B:B, "Not Found")</f>
        <v>1</v>
      </c>
      <c r="D74">
        <f>_xlfn.XLOOKUP(A74, 'bathroom data'!A:A, 'bathroom data'!B:B, "Not Found")</f>
        <v>1.5</v>
      </c>
      <c r="E74" t="str">
        <f>_xlfn.XLOOKUP(A74, 'bedroom data'!A:A, 'bedroom data'!C:C, "Not Found")</f>
        <v>Capitol Hill</v>
      </c>
      <c r="F74" t="s">
        <v>247</v>
      </c>
      <c r="G74" t="s">
        <v>248</v>
      </c>
      <c r="H74" t="s">
        <v>25</v>
      </c>
      <c r="I74">
        <v>119</v>
      </c>
      <c r="J74" t="s">
        <v>249</v>
      </c>
      <c r="K74" t="s">
        <v>13</v>
      </c>
      <c r="L74" t="s">
        <v>13</v>
      </c>
    </row>
    <row r="75" spans="1:12" x14ac:dyDescent="0.5">
      <c r="A75" t="s">
        <v>246</v>
      </c>
      <c r="B75">
        <f>_xlfn.XLOOKUP(A75, 'sqft data'!A:A, 'sqft data'!C:C, "Not Found")</f>
        <v>760</v>
      </c>
      <c r="C75">
        <f>_xlfn.XLOOKUP(A75, 'bedroom data'!A:A, 'bedroom data'!B:B, "Not Found")</f>
        <v>1</v>
      </c>
      <c r="D75">
        <f>_xlfn.XLOOKUP(A75, 'bathroom data'!A:A, 'bathroom data'!B:B, "Not Found")</f>
        <v>1.5</v>
      </c>
      <c r="E75" t="str">
        <f>_xlfn.XLOOKUP(A75, 'bedroom data'!A:A, 'bedroom data'!C:C, "Not Found")</f>
        <v>Capitol Hill</v>
      </c>
      <c r="F75" t="s">
        <v>247</v>
      </c>
      <c r="G75" t="s">
        <v>250</v>
      </c>
      <c r="H75" t="s">
        <v>251</v>
      </c>
      <c r="I75">
        <v>111</v>
      </c>
      <c r="J75" t="s">
        <v>252</v>
      </c>
      <c r="K75" t="s">
        <v>13</v>
      </c>
      <c r="L75" t="s">
        <v>36</v>
      </c>
    </row>
    <row r="76" spans="1:12" x14ac:dyDescent="0.5">
      <c r="A76" t="s">
        <v>246</v>
      </c>
      <c r="B76">
        <f>_xlfn.XLOOKUP(A76, 'sqft data'!A:A, 'sqft data'!C:C, "Not Found")</f>
        <v>760</v>
      </c>
      <c r="C76">
        <f>_xlfn.XLOOKUP(A76, 'bedroom data'!A:A, 'bedroom data'!B:B, "Not Found")</f>
        <v>1</v>
      </c>
      <c r="D76">
        <f>_xlfn.XLOOKUP(A76, 'bathroom data'!A:A, 'bathroom data'!B:B, "Not Found")</f>
        <v>1.5</v>
      </c>
      <c r="E76" t="str">
        <f>_xlfn.XLOOKUP(A76, 'bedroom data'!A:A, 'bedroom data'!C:C, "Not Found")</f>
        <v>Capitol Hill</v>
      </c>
      <c r="F76" t="s">
        <v>247</v>
      </c>
      <c r="G76" t="s">
        <v>82</v>
      </c>
      <c r="H76" t="s">
        <v>253</v>
      </c>
      <c r="I76">
        <v>119</v>
      </c>
      <c r="J76" t="s">
        <v>254</v>
      </c>
      <c r="K76" t="s">
        <v>13</v>
      </c>
      <c r="L76" t="s">
        <v>13</v>
      </c>
    </row>
    <row r="77" spans="1:12" x14ac:dyDescent="0.5">
      <c r="A77" t="s">
        <v>255</v>
      </c>
      <c r="B77" t="str">
        <f>_xlfn.XLOOKUP(A77, 'sqft data'!A:A, 'sqft data'!C:C, "Not Found")</f>
        <v>Not Found</v>
      </c>
      <c r="C77">
        <f>_xlfn.XLOOKUP(A77, 'bedroom data'!A:A, 'bedroom data'!B:B, "Not Found")</f>
        <v>3</v>
      </c>
      <c r="D77">
        <f>_xlfn.XLOOKUP(A77, 'bathroom data'!A:A, 'bathroom data'!B:B, "Not Found")</f>
        <v>3</v>
      </c>
      <c r="E77" t="str">
        <f>_xlfn.XLOOKUP(A77, 'bedroom data'!A:A, 'bedroom data'!C:C, "Not Found")</f>
        <v>Arlington</v>
      </c>
      <c r="F77" t="s">
        <v>256</v>
      </c>
      <c r="G77" t="s">
        <v>218</v>
      </c>
      <c r="H77" t="s">
        <v>12</v>
      </c>
      <c r="I77">
        <v>0</v>
      </c>
      <c r="J77" t="s">
        <v>218</v>
      </c>
      <c r="K77" t="s">
        <v>13</v>
      </c>
      <c r="L77" t="s">
        <v>13</v>
      </c>
    </row>
    <row r="78" spans="1:12" x14ac:dyDescent="0.5">
      <c r="A78" t="s">
        <v>255</v>
      </c>
      <c r="B78" t="str">
        <f>_xlfn.XLOOKUP(A78, 'sqft data'!A:A, 'sqft data'!C:C, "Not Found")</f>
        <v>Not Found</v>
      </c>
      <c r="C78">
        <f>_xlfn.XLOOKUP(A78, 'bedroom data'!A:A, 'bedroom data'!B:B, "Not Found")</f>
        <v>3</v>
      </c>
      <c r="D78">
        <f>_xlfn.XLOOKUP(A78, 'bathroom data'!A:A, 'bathroom data'!B:B, "Not Found")</f>
        <v>3</v>
      </c>
      <c r="E78" t="str">
        <f>_xlfn.XLOOKUP(A78, 'bedroom data'!A:A, 'bedroom data'!C:C, "Not Found")</f>
        <v>Arlington</v>
      </c>
      <c r="F78" t="s">
        <v>256</v>
      </c>
      <c r="G78" t="s">
        <v>257</v>
      </c>
      <c r="H78" t="s">
        <v>88</v>
      </c>
      <c r="I78">
        <v>225</v>
      </c>
      <c r="J78" t="s">
        <v>194</v>
      </c>
      <c r="K78" t="s">
        <v>36</v>
      </c>
      <c r="L78" t="s">
        <v>36</v>
      </c>
    </row>
    <row r="79" spans="1:12" x14ac:dyDescent="0.5">
      <c r="A79" t="s">
        <v>255</v>
      </c>
      <c r="B79" t="str">
        <f>_xlfn.XLOOKUP(A79, 'sqft data'!A:A, 'sqft data'!C:C, "Not Found")</f>
        <v>Not Found</v>
      </c>
      <c r="C79">
        <f>_xlfn.XLOOKUP(A79, 'bedroom data'!A:A, 'bedroom data'!B:B, "Not Found")</f>
        <v>3</v>
      </c>
      <c r="D79">
        <f>_xlfn.XLOOKUP(A79, 'bathroom data'!A:A, 'bathroom data'!B:B, "Not Found")</f>
        <v>3</v>
      </c>
      <c r="E79" t="str">
        <f>_xlfn.XLOOKUP(A79, 'bedroom data'!A:A, 'bedroom data'!C:C, "Not Found")</f>
        <v>Arlington</v>
      </c>
      <c r="F79" t="s">
        <v>256</v>
      </c>
      <c r="G79" t="s">
        <v>258</v>
      </c>
      <c r="H79" t="s">
        <v>259</v>
      </c>
      <c r="I79">
        <v>0</v>
      </c>
      <c r="J79" t="s">
        <v>214</v>
      </c>
      <c r="K79" t="s">
        <v>13</v>
      </c>
      <c r="L79" t="s">
        <v>13</v>
      </c>
    </row>
    <row r="80" spans="1:12" x14ac:dyDescent="0.5">
      <c r="A80" t="s">
        <v>255</v>
      </c>
      <c r="B80" t="str">
        <f>_xlfn.XLOOKUP(A80, 'sqft data'!A:A, 'sqft data'!C:C, "Not Found")</f>
        <v>Not Found</v>
      </c>
      <c r="C80">
        <f>_xlfn.XLOOKUP(A80, 'bedroom data'!A:A, 'bedroom data'!B:B, "Not Found")</f>
        <v>3</v>
      </c>
      <c r="D80">
        <f>_xlfn.XLOOKUP(A80, 'bathroom data'!A:A, 'bathroom data'!B:B, "Not Found")</f>
        <v>3</v>
      </c>
      <c r="E80" t="str">
        <f>_xlfn.XLOOKUP(A80, 'bedroom data'!A:A, 'bedroom data'!C:C, "Not Found")</f>
        <v>Arlington</v>
      </c>
      <c r="F80" t="s">
        <v>256</v>
      </c>
      <c r="G80" t="s">
        <v>196</v>
      </c>
      <c r="H80" t="s">
        <v>219</v>
      </c>
      <c r="I80">
        <v>215</v>
      </c>
      <c r="J80" t="s">
        <v>117</v>
      </c>
      <c r="K80" t="s">
        <v>36</v>
      </c>
      <c r="L80" t="s">
        <v>36</v>
      </c>
    </row>
    <row r="81" spans="1:12" x14ac:dyDescent="0.5">
      <c r="A81" t="s">
        <v>255</v>
      </c>
      <c r="B81" t="str">
        <f>_xlfn.XLOOKUP(A81, 'sqft data'!A:A, 'sqft data'!C:C, "Not Found")</f>
        <v>Not Found</v>
      </c>
      <c r="C81">
        <f>_xlfn.XLOOKUP(A81, 'bedroom data'!A:A, 'bedroom data'!B:B, "Not Found")</f>
        <v>3</v>
      </c>
      <c r="D81">
        <f>_xlfn.XLOOKUP(A81, 'bathroom data'!A:A, 'bathroom data'!B:B, "Not Found")</f>
        <v>3</v>
      </c>
      <c r="E81" t="str">
        <f>_xlfn.XLOOKUP(A81, 'bedroom data'!A:A, 'bedroom data'!C:C, "Not Found")</f>
        <v>Arlington</v>
      </c>
      <c r="F81" t="s">
        <v>256</v>
      </c>
      <c r="G81" t="s">
        <v>180</v>
      </c>
      <c r="H81" t="s">
        <v>260</v>
      </c>
      <c r="I81">
        <v>0</v>
      </c>
      <c r="J81" t="s">
        <v>261</v>
      </c>
      <c r="K81" t="s">
        <v>13</v>
      </c>
      <c r="L81" t="s">
        <v>13</v>
      </c>
    </row>
    <row r="82" spans="1:12" x14ac:dyDescent="0.5">
      <c r="A82" t="s">
        <v>262</v>
      </c>
      <c r="B82">
        <f>_xlfn.XLOOKUP(A82, 'sqft data'!A:A, 'sqft data'!C:C, "Not Found")</f>
        <v>2000</v>
      </c>
      <c r="C82">
        <f>_xlfn.XLOOKUP(A82, 'bedroom data'!A:A, 'bedroom data'!B:B, "Not Found")</f>
        <v>3</v>
      </c>
      <c r="D82">
        <f>_xlfn.XLOOKUP(A82, 'bathroom data'!A:A, 'bathroom data'!B:B, "Not Found")</f>
        <v>2.5</v>
      </c>
      <c r="E82" t="str">
        <f>_xlfn.XLOOKUP(A82, 'bedroom data'!A:A, 'bedroom data'!C:C, "Not Found")</f>
        <v>Capitol Hill</v>
      </c>
      <c r="F82" t="s">
        <v>263</v>
      </c>
      <c r="G82" t="s">
        <v>264</v>
      </c>
      <c r="H82" t="s">
        <v>227</v>
      </c>
      <c r="I82">
        <v>228.8</v>
      </c>
      <c r="J82" t="s">
        <v>64</v>
      </c>
      <c r="K82" t="s">
        <v>13</v>
      </c>
      <c r="L82" t="s">
        <v>13</v>
      </c>
    </row>
    <row r="83" spans="1:12" x14ac:dyDescent="0.5">
      <c r="A83" t="s">
        <v>262</v>
      </c>
      <c r="B83">
        <f>_xlfn.XLOOKUP(A83, 'sqft data'!A:A, 'sqft data'!C:C, "Not Found")</f>
        <v>2000</v>
      </c>
      <c r="C83">
        <f>_xlfn.XLOOKUP(A83, 'bedroom data'!A:A, 'bedroom data'!B:B, "Not Found")</f>
        <v>3</v>
      </c>
      <c r="D83">
        <f>_xlfn.XLOOKUP(A83, 'bathroom data'!A:A, 'bathroom data'!B:B, "Not Found")</f>
        <v>2.5</v>
      </c>
      <c r="E83" t="str">
        <f>_xlfn.XLOOKUP(A83, 'bedroom data'!A:A, 'bedroom data'!C:C, "Not Found")</f>
        <v>Capitol Hill</v>
      </c>
      <c r="F83" t="s">
        <v>263</v>
      </c>
      <c r="G83" t="s">
        <v>265</v>
      </c>
      <c r="H83" t="s">
        <v>171</v>
      </c>
      <c r="I83">
        <v>0</v>
      </c>
      <c r="J83" t="s">
        <v>265</v>
      </c>
      <c r="K83" t="s">
        <v>13</v>
      </c>
      <c r="L83" t="s">
        <v>13</v>
      </c>
    </row>
    <row r="84" spans="1:12" x14ac:dyDescent="0.5">
      <c r="A84" t="s">
        <v>262</v>
      </c>
      <c r="B84">
        <f>_xlfn.XLOOKUP(A84, 'sqft data'!A:A, 'sqft data'!C:C, "Not Found")</f>
        <v>2000</v>
      </c>
      <c r="C84">
        <f>_xlfn.XLOOKUP(A84, 'bedroom data'!A:A, 'bedroom data'!B:B, "Not Found")</f>
        <v>3</v>
      </c>
      <c r="D84">
        <f>_xlfn.XLOOKUP(A84, 'bathroom data'!A:A, 'bathroom data'!B:B, "Not Found")</f>
        <v>2.5</v>
      </c>
      <c r="E84" t="str">
        <f>_xlfn.XLOOKUP(A84, 'bedroom data'!A:A, 'bedroom data'!C:C, "Not Found")</f>
        <v>Capitol Hill</v>
      </c>
      <c r="F84" t="s">
        <v>263</v>
      </c>
      <c r="G84" t="s">
        <v>266</v>
      </c>
      <c r="H84" t="s">
        <v>76</v>
      </c>
      <c r="I84">
        <v>0</v>
      </c>
      <c r="J84" t="s">
        <v>266</v>
      </c>
      <c r="K84" t="s">
        <v>13</v>
      </c>
      <c r="L84" t="s">
        <v>13</v>
      </c>
    </row>
    <row r="85" spans="1:12" x14ac:dyDescent="0.5">
      <c r="A85" t="s">
        <v>262</v>
      </c>
      <c r="B85">
        <f>_xlfn.XLOOKUP(A85, 'sqft data'!A:A, 'sqft data'!C:C, "Not Found")</f>
        <v>2000</v>
      </c>
      <c r="C85">
        <f>_xlfn.XLOOKUP(A85, 'bedroom data'!A:A, 'bedroom data'!B:B, "Not Found")</f>
        <v>3</v>
      </c>
      <c r="D85">
        <f>_xlfn.XLOOKUP(A85, 'bathroom data'!A:A, 'bathroom data'!B:B, "Not Found")</f>
        <v>2.5</v>
      </c>
      <c r="E85" t="str">
        <f>_xlfn.XLOOKUP(A85, 'bedroom data'!A:A, 'bedroom data'!C:C, "Not Found")</f>
        <v>Capitol Hill</v>
      </c>
      <c r="F85" t="s">
        <v>263</v>
      </c>
      <c r="G85" t="s">
        <v>68</v>
      </c>
      <c r="H85" t="s">
        <v>197</v>
      </c>
      <c r="I85">
        <v>185</v>
      </c>
      <c r="J85" t="s">
        <v>145</v>
      </c>
      <c r="K85" t="s">
        <v>36</v>
      </c>
      <c r="L85" t="s">
        <v>13</v>
      </c>
    </row>
    <row r="86" spans="1:12" x14ac:dyDescent="0.5">
      <c r="A86" t="s">
        <v>262</v>
      </c>
      <c r="B86">
        <f>_xlfn.XLOOKUP(A86, 'sqft data'!A:A, 'sqft data'!C:C, "Not Found")</f>
        <v>2000</v>
      </c>
      <c r="C86">
        <f>_xlfn.XLOOKUP(A86, 'bedroom data'!A:A, 'bedroom data'!B:B, "Not Found")</f>
        <v>3</v>
      </c>
      <c r="D86">
        <f>_xlfn.XLOOKUP(A86, 'bathroom data'!A:A, 'bathroom data'!B:B, "Not Found")</f>
        <v>2.5</v>
      </c>
      <c r="E86" t="str">
        <f>_xlfn.XLOOKUP(A86, 'bedroom data'!A:A, 'bedroom data'!C:C, "Not Found")</f>
        <v>Capitol Hill</v>
      </c>
      <c r="F86" t="s">
        <v>263</v>
      </c>
      <c r="G86" t="s">
        <v>267</v>
      </c>
      <c r="H86" t="s">
        <v>268</v>
      </c>
      <c r="I86">
        <v>212</v>
      </c>
      <c r="J86" t="s">
        <v>269</v>
      </c>
      <c r="K86" t="s">
        <v>36</v>
      </c>
      <c r="L86" t="s">
        <v>13</v>
      </c>
    </row>
    <row r="87" spans="1:12" x14ac:dyDescent="0.5">
      <c r="A87" t="s">
        <v>262</v>
      </c>
      <c r="B87">
        <f>_xlfn.XLOOKUP(A87, 'sqft data'!A:A, 'sqft data'!C:C, "Not Found")</f>
        <v>2000</v>
      </c>
      <c r="C87">
        <f>_xlfn.XLOOKUP(A87, 'bedroom data'!A:A, 'bedroom data'!B:B, "Not Found")</f>
        <v>3</v>
      </c>
      <c r="D87">
        <f>_xlfn.XLOOKUP(A87, 'bathroom data'!A:A, 'bathroom data'!B:B, "Not Found")</f>
        <v>2.5</v>
      </c>
      <c r="E87" t="str">
        <f>_xlfn.XLOOKUP(A87, 'bedroom data'!A:A, 'bedroom data'!C:C, "Not Found")</f>
        <v>Capitol Hill</v>
      </c>
      <c r="F87" t="s">
        <v>263</v>
      </c>
      <c r="G87" t="s">
        <v>270</v>
      </c>
      <c r="H87" t="s">
        <v>271</v>
      </c>
      <c r="I87">
        <v>215</v>
      </c>
      <c r="J87" t="s">
        <v>272</v>
      </c>
      <c r="K87" t="s">
        <v>36</v>
      </c>
      <c r="L87" t="s">
        <v>13</v>
      </c>
    </row>
    <row r="88" spans="1:12" x14ac:dyDescent="0.5">
      <c r="A88" t="s">
        <v>273</v>
      </c>
      <c r="B88">
        <f>_xlfn.XLOOKUP(A88, 'sqft data'!A:A, 'sqft data'!C:C, "Not Found")</f>
        <v>1440</v>
      </c>
      <c r="C88">
        <f>_xlfn.XLOOKUP(A88, 'bedroom data'!A:A, 'bedroom data'!B:B, "Not Found")</f>
        <v>2</v>
      </c>
      <c r="D88">
        <f>_xlfn.XLOOKUP(A88, 'bathroom data'!A:A, 'bathroom data'!B:B, "Not Found")</f>
        <v>2.5</v>
      </c>
      <c r="E88" t="str">
        <f>_xlfn.XLOOKUP(A88, 'bedroom data'!A:A, 'bedroom data'!C:C, "Not Found")</f>
        <v>H Street Corridor</v>
      </c>
      <c r="F88" t="s">
        <v>274</v>
      </c>
      <c r="G88" t="s">
        <v>275</v>
      </c>
      <c r="H88" t="s">
        <v>276</v>
      </c>
      <c r="I88">
        <v>135</v>
      </c>
      <c r="J88" t="s">
        <v>277</v>
      </c>
      <c r="K88" t="s">
        <v>36</v>
      </c>
      <c r="L88" t="s">
        <v>13</v>
      </c>
    </row>
    <row r="89" spans="1:12" x14ac:dyDescent="0.5">
      <c r="A89" t="s">
        <v>273</v>
      </c>
      <c r="B89">
        <f>_xlfn.XLOOKUP(A89, 'sqft data'!A:A, 'sqft data'!C:C, "Not Found")</f>
        <v>1440</v>
      </c>
      <c r="C89">
        <f>_xlfn.XLOOKUP(A89, 'bedroom data'!A:A, 'bedroom data'!B:B, "Not Found")</f>
        <v>2</v>
      </c>
      <c r="D89">
        <f>_xlfn.XLOOKUP(A89, 'bathroom data'!A:A, 'bathroom data'!B:B, "Not Found")</f>
        <v>2.5</v>
      </c>
      <c r="E89" t="str">
        <f>_xlfn.XLOOKUP(A89, 'bedroom data'!A:A, 'bedroom data'!C:C, "Not Found")</f>
        <v>H Street Corridor</v>
      </c>
      <c r="F89" t="s">
        <v>274</v>
      </c>
      <c r="G89" t="s">
        <v>121</v>
      </c>
      <c r="H89" t="s">
        <v>278</v>
      </c>
      <c r="I89">
        <v>130</v>
      </c>
      <c r="J89" t="s">
        <v>279</v>
      </c>
      <c r="K89" t="s">
        <v>36</v>
      </c>
      <c r="L89" t="s">
        <v>13</v>
      </c>
    </row>
    <row r="90" spans="1:12" x14ac:dyDescent="0.5">
      <c r="A90" t="s">
        <v>280</v>
      </c>
      <c r="B90" t="str">
        <f>_xlfn.XLOOKUP(A90, 'sqft data'!A:A, 'sqft data'!C:C, "Not Found")</f>
        <v>Not Found</v>
      </c>
      <c r="C90">
        <f>_xlfn.XLOOKUP(A90, 'bedroom data'!A:A, 'bedroom data'!B:B, "Not Found")</f>
        <v>1</v>
      </c>
      <c r="D90">
        <f>_xlfn.XLOOKUP(A90, 'bathroom data'!A:A, 'bathroom data'!B:B, "Not Found")</f>
        <v>1</v>
      </c>
      <c r="E90" t="str">
        <f>_xlfn.XLOOKUP(A90, 'bedroom data'!A:A, 'bedroom data'!C:C, "Not Found")</f>
        <v>Capitol Hill</v>
      </c>
      <c r="F90" t="s">
        <v>20</v>
      </c>
      <c r="G90" t="s">
        <v>281</v>
      </c>
      <c r="H90" t="s">
        <v>282</v>
      </c>
      <c r="I90">
        <v>0</v>
      </c>
      <c r="J90" t="s">
        <v>283</v>
      </c>
      <c r="K90" t="s">
        <v>13</v>
      </c>
      <c r="L90" t="s">
        <v>13</v>
      </c>
    </row>
    <row r="91" spans="1:12" x14ac:dyDescent="0.5">
      <c r="A91" t="s">
        <v>280</v>
      </c>
      <c r="B91" t="str">
        <f>_xlfn.XLOOKUP(A91, 'sqft data'!A:A, 'sqft data'!C:C, "Not Found")</f>
        <v>Not Found</v>
      </c>
      <c r="C91">
        <f>_xlfn.XLOOKUP(A91, 'bedroom data'!A:A, 'bedroom data'!B:B, "Not Found")</f>
        <v>1</v>
      </c>
      <c r="D91">
        <f>_xlfn.XLOOKUP(A91, 'bathroom data'!A:A, 'bathroom data'!B:B, "Not Found")</f>
        <v>1</v>
      </c>
      <c r="E91" t="str">
        <f>_xlfn.XLOOKUP(A91, 'bedroom data'!A:A, 'bedroom data'!C:C, "Not Found")</f>
        <v>Capitol Hill</v>
      </c>
      <c r="F91" t="s">
        <v>20</v>
      </c>
      <c r="G91" t="s">
        <v>194</v>
      </c>
      <c r="H91" t="s">
        <v>284</v>
      </c>
      <c r="I91">
        <v>0</v>
      </c>
      <c r="J91" t="s">
        <v>285</v>
      </c>
      <c r="K91" t="s">
        <v>13</v>
      </c>
      <c r="L91" t="s">
        <v>13</v>
      </c>
    </row>
    <row r="92" spans="1:12" x14ac:dyDescent="0.5">
      <c r="A92" t="s">
        <v>280</v>
      </c>
      <c r="B92" t="str">
        <f>_xlfn.XLOOKUP(A92, 'sqft data'!A:A, 'sqft data'!C:C, "Not Found")</f>
        <v>Not Found</v>
      </c>
      <c r="C92">
        <f>_xlfn.XLOOKUP(A92, 'bedroom data'!A:A, 'bedroom data'!B:B, "Not Found")</f>
        <v>1</v>
      </c>
      <c r="D92">
        <f>_xlfn.XLOOKUP(A92, 'bathroom data'!A:A, 'bathroom data'!B:B, "Not Found")</f>
        <v>1</v>
      </c>
      <c r="E92" t="str">
        <f>_xlfn.XLOOKUP(A92, 'bedroom data'!A:A, 'bedroom data'!C:C, "Not Found")</f>
        <v>Capitol Hill</v>
      </c>
      <c r="F92" t="s">
        <v>20</v>
      </c>
      <c r="G92" t="s">
        <v>286</v>
      </c>
      <c r="H92" t="s">
        <v>287</v>
      </c>
      <c r="I92">
        <v>0</v>
      </c>
      <c r="J92" t="s">
        <v>21</v>
      </c>
      <c r="K92" t="s">
        <v>13</v>
      </c>
      <c r="L92" t="s">
        <v>13</v>
      </c>
    </row>
    <row r="93" spans="1:12" x14ac:dyDescent="0.5">
      <c r="A93" t="s">
        <v>280</v>
      </c>
      <c r="B93" t="str">
        <f>_xlfn.XLOOKUP(A93, 'sqft data'!A:A, 'sqft data'!C:C, "Not Found")</f>
        <v>Not Found</v>
      </c>
      <c r="C93">
        <f>_xlfn.XLOOKUP(A93, 'bedroom data'!A:A, 'bedroom data'!B:B, "Not Found")</f>
        <v>1</v>
      </c>
      <c r="D93">
        <f>_xlfn.XLOOKUP(A93, 'bathroom data'!A:A, 'bathroom data'!B:B, "Not Found")</f>
        <v>1</v>
      </c>
      <c r="E93" t="str">
        <f>_xlfn.XLOOKUP(A93, 'bedroom data'!A:A, 'bedroom data'!C:C, "Not Found")</f>
        <v>Capitol Hill</v>
      </c>
      <c r="F93" t="s">
        <v>20</v>
      </c>
      <c r="G93" t="s">
        <v>288</v>
      </c>
      <c r="H93" t="s">
        <v>289</v>
      </c>
      <c r="I93">
        <v>0</v>
      </c>
      <c r="J93" t="s">
        <v>111</v>
      </c>
      <c r="K93" t="s">
        <v>13</v>
      </c>
      <c r="L93" t="s">
        <v>13</v>
      </c>
    </row>
    <row r="94" spans="1:12" x14ac:dyDescent="0.5">
      <c r="A94" t="s">
        <v>280</v>
      </c>
      <c r="B94" t="str">
        <f>_xlfn.XLOOKUP(A94, 'sqft data'!A:A, 'sqft data'!C:C, "Not Found")</f>
        <v>Not Found</v>
      </c>
      <c r="C94">
        <f>_xlfn.XLOOKUP(A94, 'bedroom data'!A:A, 'bedroom data'!B:B, "Not Found")</f>
        <v>1</v>
      </c>
      <c r="D94">
        <f>_xlfn.XLOOKUP(A94, 'bathroom data'!A:A, 'bathroom data'!B:B, "Not Found")</f>
        <v>1</v>
      </c>
      <c r="E94" t="str">
        <f>_xlfn.XLOOKUP(A94, 'bedroom data'!A:A, 'bedroom data'!C:C, "Not Found")</f>
        <v>Capitol Hill</v>
      </c>
      <c r="F94" t="s">
        <v>20</v>
      </c>
      <c r="G94" t="s">
        <v>290</v>
      </c>
      <c r="H94" t="s">
        <v>25</v>
      </c>
      <c r="I94">
        <v>0</v>
      </c>
      <c r="J94" t="s">
        <v>291</v>
      </c>
      <c r="K94" t="s">
        <v>13</v>
      </c>
      <c r="L94" t="s">
        <v>13</v>
      </c>
    </row>
    <row r="95" spans="1:12" x14ac:dyDescent="0.5">
      <c r="A95" t="s">
        <v>280</v>
      </c>
      <c r="B95" t="str">
        <f>_xlfn.XLOOKUP(A95, 'sqft data'!A:A, 'sqft data'!C:C, "Not Found")</f>
        <v>Not Found</v>
      </c>
      <c r="C95">
        <f>_xlfn.XLOOKUP(A95, 'bedroom data'!A:A, 'bedroom data'!B:B, "Not Found")</f>
        <v>1</v>
      </c>
      <c r="D95">
        <f>_xlfn.XLOOKUP(A95, 'bathroom data'!A:A, 'bathroom data'!B:B, "Not Found")</f>
        <v>1</v>
      </c>
      <c r="E95" t="str">
        <f>_xlfn.XLOOKUP(A95, 'bedroom data'!A:A, 'bedroom data'!C:C, "Not Found")</f>
        <v>Capitol Hill</v>
      </c>
      <c r="F95" t="s">
        <v>20</v>
      </c>
      <c r="G95" t="s">
        <v>292</v>
      </c>
      <c r="H95" t="s">
        <v>12</v>
      </c>
      <c r="I95">
        <v>0</v>
      </c>
      <c r="J95" t="s">
        <v>63</v>
      </c>
      <c r="K95" t="s">
        <v>13</v>
      </c>
      <c r="L95" t="s">
        <v>13</v>
      </c>
    </row>
    <row r="96" spans="1:12" x14ac:dyDescent="0.5">
      <c r="A96" t="s">
        <v>280</v>
      </c>
      <c r="B96" t="str">
        <f>_xlfn.XLOOKUP(A96, 'sqft data'!A:A, 'sqft data'!C:C, "Not Found")</f>
        <v>Not Found</v>
      </c>
      <c r="C96">
        <f>_xlfn.XLOOKUP(A96, 'bedroom data'!A:A, 'bedroom data'!B:B, "Not Found")</f>
        <v>1</v>
      </c>
      <c r="D96">
        <f>_xlfn.XLOOKUP(A96, 'bathroom data'!A:A, 'bathroom data'!B:B, "Not Found")</f>
        <v>1</v>
      </c>
      <c r="E96" t="str">
        <f>_xlfn.XLOOKUP(A96, 'bedroom data'!A:A, 'bedroom data'!C:C, "Not Found")</f>
        <v>Capitol Hill</v>
      </c>
      <c r="F96" t="s">
        <v>20</v>
      </c>
      <c r="G96" t="s">
        <v>16</v>
      </c>
      <c r="H96" t="s">
        <v>293</v>
      </c>
      <c r="I96">
        <v>0</v>
      </c>
      <c r="J96" t="s">
        <v>294</v>
      </c>
      <c r="K96" t="s">
        <v>13</v>
      </c>
      <c r="L96" t="s">
        <v>13</v>
      </c>
    </row>
    <row r="97" spans="1:12" x14ac:dyDescent="0.5">
      <c r="A97" t="s">
        <v>280</v>
      </c>
      <c r="B97" t="str">
        <f>_xlfn.XLOOKUP(A97, 'sqft data'!A:A, 'sqft data'!C:C, "Not Found")</f>
        <v>Not Found</v>
      </c>
      <c r="C97">
        <f>_xlfn.XLOOKUP(A97, 'bedroom data'!A:A, 'bedroom data'!B:B, "Not Found")</f>
        <v>1</v>
      </c>
      <c r="D97">
        <f>_xlfn.XLOOKUP(A97, 'bathroom data'!A:A, 'bathroom data'!B:B, "Not Found")</f>
        <v>1</v>
      </c>
      <c r="E97" t="str">
        <f>_xlfn.XLOOKUP(A97, 'bedroom data'!A:A, 'bedroom data'!C:C, "Not Found")</f>
        <v>Capitol Hill</v>
      </c>
      <c r="F97" t="s">
        <v>20</v>
      </c>
      <c r="G97" t="s">
        <v>295</v>
      </c>
      <c r="H97" t="s">
        <v>114</v>
      </c>
      <c r="I97">
        <v>0</v>
      </c>
      <c r="J97" t="s">
        <v>296</v>
      </c>
      <c r="K97" t="s">
        <v>13</v>
      </c>
      <c r="L97" t="s">
        <v>13</v>
      </c>
    </row>
    <row r="98" spans="1:12" x14ac:dyDescent="0.5">
      <c r="A98" t="s">
        <v>297</v>
      </c>
      <c r="B98" t="str">
        <f>_xlfn.XLOOKUP(A98, 'sqft data'!A:A, 'sqft data'!C:C, "Not Found")</f>
        <v>Not Found</v>
      </c>
      <c r="C98">
        <f>_xlfn.XLOOKUP(A98, 'bedroom data'!A:A, 'bedroom data'!B:B, "Not Found")</f>
        <v>1</v>
      </c>
      <c r="D98">
        <f>_xlfn.XLOOKUP(A98, 'bathroom data'!A:A, 'bathroom data'!B:B, "Not Found")</f>
        <v>1</v>
      </c>
      <c r="E98" t="str">
        <f>_xlfn.XLOOKUP(A98, 'bedroom data'!A:A, 'bedroom data'!C:C, "Not Found")</f>
        <v>Capitol Hill</v>
      </c>
      <c r="F98" t="s">
        <v>20</v>
      </c>
      <c r="G98" t="s">
        <v>245</v>
      </c>
      <c r="H98" t="s">
        <v>252</v>
      </c>
      <c r="I98">
        <v>0</v>
      </c>
      <c r="J98" t="s">
        <v>215</v>
      </c>
      <c r="K98" t="s">
        <v>13</v>
      </c>
      <c r="L98" t="s">
        <v>13</v>
      </c>
    </row>
    <row r="99" spans="1:12" x14ac:dyDescent="0.5">
      <c r="A99" t="s">
        <v>297</v>
      </c>
      <c r="B99" t="str">
        <f>_xlfn.XLOOKUP(A99, 'sqft data'!A:A, 'sqft data'!C:C, "Not Found")</f>
        <v>Not Found</v>
      </c>
      <c r="C99">
        <f>_xlfn.XLOOKUP(A99, 'bedroom data'!A:A, 'bedroom data'!B:B, "Not Found")</f>
        <v>1</v>
      </c>
      <c r="D99">
        <f>_xlfn.XLOOKUP(A99, 'bathroom data'!A:A, 'bathroom data'!B:B, "Not Found")</f>
        <v>1</v>
      </c>
      <c r="E99" t="str">
        <f>_xlfn.XLOOKUP(A99, 'bedroom data'!A:A, 'bedroom data'!C:C, "Not Found")</f>
        <v>Capitol Hill</v>
      </c>
      <c r="F99" t="s">
        <v>20</v>
      </c>
      <c r="G99" t="s">
        <v>298</v>
      </c>
      <c r="H99" t="s">
        <v>25</v>
      </c>
      <c r="I99">
        <v>0</v>
      </c>
      <c r="J99" t="s">
        <v>215</v>
      </c>
      <c r="K99" t="s">
        <v>13</v>
      </c>
      <c r="L99" t="s">
        <v>13</v>
      </c>
    </row>
    <row r="100" spans="1:12" x14ac:dyDescent="0.5">
      <c r="A100" t="s">
        <v>297</v>
      </c>
      <c r="B100" t="str">
        <f>_xlfn.XLOOKUP(A100, 'sqft data'!A:A, 'sqft data'!C:C, "Not Found")</f>
        <v>Not Found</v>
      </c>
      <c r="C100">
        <f>_xlfn.XLOOKUP(A100, 'bedroom data'!A:A, 'bedroom data'!B:B, "Not Found")</f>
        <v>1</v>
      </c>
      <c r="D100">
        <f>_xlfn.XLOOKUP(A100, 'bathroom data'!A:A, 'bathroom data'!B:B, "Not Found")</f>
        <v>1</v>
      </c>
      <c r="E100" t="str">
        <f>_xlfn.XLOOKUP(A100, 'bedroom data'!A:A, 'bedroom data'!C:C, "Not Found")</f>
        <v>Capitol Hill</v>
      </c>
      <c r="F100" t="s">
        <v>20</v>
      </c>
      <c r="G100" t="s">
        <v>287</v>
      </c>
      <c r="H100" t="s">
        <v>12</v>
      </c>
      <c r="I100">
        <v>0</v>
      </c>
      <c r="J100" t="s">
        <v>299</v>
      </c>
      <c r="K100" t="s">
        <v>13</v>
      </c>
      <c r="L100" t="s">
        <v>13</v>
      </c>
    </row>
    <row r="101" spans="1:12" x14ac:dyDescent="0.5">
      <c r="A101" t="s">
        <v>297</v>
      </c>
      <c r="B101" t="str">
        <f>_xlfn.XLOOKUP(A101, 'sqft data'!A:A, 'sqft data'!C:C, "Not Found")</f>
        <v>Not Found</v>
      </c>
      <c r="C101">
        <f>_xlfn.XLOOKUP(A101, 'bedroom data'!A:A, 'bedroom data'!B:B, "Not Found")</f>
        <v>1</v>
      </c>
      <c r="D101">
        <f>_xlfn.XLOOKUP(A101, 'bathroom data'!A:A, 'bathroom data'!B:B, "Not Found")</f>
        <v>1</v>
      </c>
      <c r="E101" t="str">
        <f>_xlfn.XLOOKUP(A101, 'bedroom data'!A:A, 'bedroom data'!C:C, "Not Found")</f>
        <v>Capitol Hill</v>
      </c>
      <c r="F101" t="s">
        <v>20</v>
      </c>
      <c r="G101" t="s">
        <v>300</v>
      </c>
      <c r="H101" t="s">
        <v>301</v>
      </c>
      <c r="I101">
        <v>0</v>
      </c>
      <c r="J101" t="s">
        <v>302</v>
      </c>
      <c r="K101" t="s">
        <v>13</v>
      </c>
      <c r="L101" t="s">
        <v>13</v>
      </c>
    </row>
    <row r="102" spans="1:12" x14ac:dyDescent="0.5">
      <c r="A102" t="s">
        <v>297</v>
      </c>
      <c r="B102" t="str">
        <f>_xlfn.XLOOKUP(A102, 'sqft data'!A:A, 'sqft data'!C:C, "Not Found")</f>
        <v>Not Found</v>
      </c>
      <c r="C102">
        <f>_xlfn.XLOOKUP(A102, 'bedroom data'!A:A, 'bedroom data'!B:B, "Not Found")</f>
        <v>1</v>
      </c>
      <c r="D102">
        <f>_xlfn.XLOOKUP(A102, 'bathroom data'!A:A, 'bathroom data'!B:B, "Not Found")</f>
        <v>1</v>
      </c>
      <c r="E102" t="str">
        <f>_xlfn.XLOOKUP(A102, 'bedroom data'!A:A, 'bedroom data'!C:C, "Not Found")</f>
        <v>Capitol Hill</v>
      </c>
      <c r="F102" t="s">
        <v>20</v>
      </c>
      <c r="G102" t="s">
        <v>303</v>
      </c>
      <c r="H102" t="s">
        <v>295</v>
      </c>
      <c r="I102">
        <v>0</v>
      </c>
      <c r="J102" t="s">
        <v>243</v>
      </c>
      <c r="K102" t="s">
        <v>13</v>
      </c>
      <c r="L102" t="s">
        <v>13</v>
      </c>
    </row>
    <row r="103" spans="1:12" x14ac:dyDescent="0.5">
      <c r="A103" t="s">
        <v>304</v>
      </c>
      <c r="B103" t="str">
        <f>_xlfn.XLOOKUP(A103, 'sqft data'!A:A, 'sqft data'!C:C, "Not Found")</f>
        <v>Not Found</v>
      </c>
      <c r="C103">
        <f>_xlfn.XLOOKUP(A103, 'bedroom data'!A:A, 'bedroom data'!B:B, "Not Found")</f>
        <v>1</v>
      </c>
      <c r="D103">
        <f>_xlfn.XLOOKUP(A103, 'bathroom data'!A:A, 'bathroom data'!B:B, "Not Found")</f>
        <v>1</v>
      </c>
      <c r="E103" t="str">
        <f>_xlfn.XLOOKUP(A103, 'bedroom data'!A:A, 'bedroom data'!C:C, "Not Found")</f>
        <v>Capitol Hill</v>
      </c>
      <c r="F103" t="s">
        <v>20</v>
      </c>
      <c r="G103" t="s">
        <v>305</v>
      </c>
      <c r="H103" t="s">
        <v>243</v>
      </c>
      <c r="I103">
        <v>0</v>
      </c>
      <c r="J103" t="s">
        <v>306</v>
      </c>
      <c r="K103" t="s">
        <v>13</v>
      </c>
      <c r="L103" t="s">
        <v>13</v>
      </c>
    </row>
    <row r="104" spans="1:12" x14ac:dyDescent="0.5">
      <c r="A104" t="s">
        <v>304</v>
      </c>
      <c r="B104" t="str">
        <f>_xlfn.XLOOKUP(A104, 'sqft data'!A:A, 'sqft data'!C:C, "Not Found")</f>
        <v>Not Found</v>
      </c>
      <c r="C104">
        <f>_xlfn.XLOOKUP(A104, 'bedroom data'!A:A, 'bedroom data'!B:B, "Not Found")</f>
        <v>1</v>
      </c>
      <c r="D104">
        <f>_xlfn.XLOOKUP(A104, 'bathroom data'!A:A, 'bathroom data'!B:B, "Not Found")</f>
        <v>1</v>
      </c>
      <c r="E104" t="str">
        <f>_xlfn.XLOOKUP(A104, 'bedroom data'!A:A, 'bedroom data'!C:C, "Not Found")</f>
        <v>Capitol Hill</v>
      </c>
      <c r="F104" t="s">
        <v>20</v>
      </c>
      <c r="G104" t="s">
        <v>287</v>
      </c>
      <c r="H104" t="s">
        <v>12</v>
      </c>
      <c r="I104">
        <v>0</v>
      </c>
      <c r="J104" t="s">
        <v>299</v>
      </c>
      <c r="K104" t="s">
        <v>13</v>
      </c>
      <c r="L104" t="s">
        <v>13</v>
      </c>
    </row>
    <row r="105" spans="1:12" x14ac:dyDescent="0.5">
      <c r="A105" t="s">
        <v>304</v>
      </c>
      <c r="B105" t="str">
        <f>_xlfn.XLOOKUP(A105, 'sqft data'!A:A, 'sqft data'!C:C, "Not Found")</f>
        <v>Not Found</v>
      </c>
      <c r="C105">
        <f>_xlfn.XLOOKUP(A105, 'bedroom data'!A:A, 'bedroom data'!B:B, "Not Found")</f>
        <v>1</v>
      </c>
      <c r="D105">
        <f>_xlfn.XLOOKUP(A105, 'bathroom data'!A:A, 'bathroom data'!B:B, "Not Found")</f>
        <v>1</v>
      </c>
      <c r="E105" t="str">
        <f>_xlfn.XLOOKUP(A105, 'bedroom data'!A:A, 'bedroom data'!C:C, "Not Found")</f>
        <v>Capitol Hill</v>
      </c>
      <c r="F105" t="s">
        <v>20</v>
      </c>
      <c r="G105" t="s">
        <v>303</v>
      </c>
      <c r="H105" t="s">
        <v>295</v>
      </c>
      <c r="I105">
        <v>0</v>
      </c>
      <c r="J105" t="s">
        <v>243</v>
      </c>
      <c r="K105" t="s">
        <v>13</v>
      </c>
      <c r="L105" t="s">
        <v>13</v>
      </c>
    </row>
    <row r="106" spans="1:12" x14ac:dyDescent="0.5">
      <c r="A106" t="s">
        <v>307</v>
      </c>
      <c r="B106">
        <f>_xlfn.XLOOKUP(A106, 'sqft data'!A:A, 'sqft data'!C:C, "Not Found")</f>
        <v>1151</v>
      </c>
      <c r="C106">
        <f>_xlfn.XLOOKUP(A106, 'bedroom data'!A:A, 'bedroom data'!B:B, "Not Found")</f>
        <v>2</v>
      </c>
      <c r="D106">
        <f>_xlfn.XLOOKUP(A106, 'bathroom data'!A:A, 'bathroom data'!B:B, "Not Found")</f>
        <v>2</v>
      </c>
      <c r="E106" t="str">
        <f>_xlfn.XLOOKUP(A106, 'bedroom data'!A:A, 'bedroom data'!C:C, "Not Found")</f>
        <v>Navy Yard</v>
      </c>
      <c r="F106" t="s">
        <v>308</v>
      </c>
      <c r="G106" t="s">
        <v>309</v>
      </c>
      <c r="H106" t="s">
        <v>187</v>
      </c>
      <c r="I106">
        <v>224</v>
      </c>
      <c r="J106" t="s">
        <v>310</v>
      </c>
      <c r="K106" t="s">
        <v>36</v>
      </c>
      <c r="L106" t="s">
        <v>13</v>
      </c>
    </row>
    <row r="107" spans="1:12" x14ac:dyDescent="0.5">
      <c r="A107" t="s">
        <v>307</v>
      </c>
      <c r="B107">
        <f>_xlfn.XLOOKUP(A107, 'sqft data'!A:A, 'sqft data'!C:C, "Not Found")</f>
        <v>1151</v>
      </c>
      <c r="C107">
        <f>_xlfn.XLOOKUP(A107, 'bedroom data'!A:A, 'bedroom data'!B:B, "Not Found")</f>
        <v>2</v>
      </c>
      <c r="D107">
        <f>_xlfn.XLOOKUP(A107, 'bathroom data'!A:A, 'bathroom data'!B:B, "Not Found")</f>
        <v>2</v>
      </c>
      <c r="E107" t="str">
        <f>_xlfn.XLOOKUP(A107, 'bedroom data'!A:A, 'bedroom data'!C:C, "Not Found")</f>
        <v>Navy Yard</v>
      </c>
      <c r="F107" t="s">
        <v>308</v>
      </c>
      <c r="G107" t="s">
        <v>311</v>
      </c>
      <c r="H107" t="s">
        <v>312</v>
      </c>
      <c r="I107">
        <v>220</v>
      </c>
      <c r="J107" t="s">
        <v>173</v>
      </c>
      <c r="K107" t="s">
        <v>36</v>
      </c>
      <c r="L107" t="s">
        <v>13</v>
      </c>
    </row>
    <row r="108" spans="1:12" x14ac:dyDescent="0.5">
      <c r="A108" t="s">
        <v>307</v>
      </c>
      <c r="B108">
        <f>_xlfn.XLOOKUP(A108, 'sqft data'!A:A, 'sqft data'!C:C, "Not Found")</f>
        <v>1151</v>
      </c>
      <c r="C108">
        <f>_xlfn.XLOOKUP(A108, 'bedroom data'!A:A, 'bedroom data'!B:B, "Not Found")</f>
        <v>2</v>
      </c>
      <c r="D108">
        <f>_xlfn.XLOOKUP(A108, 'bathroom data'!A:A, 'bathroom data'!B:B, "Not Found")</f>
        <v>2</v>
      </c>
      <c r="E108" t="str">
        <f>_xlfn.XLOOKUP(A108, 'bedroom data'!A:A, 'bedroom data'!C:C, "Not Found")</f>
        <v>Navy Yard</v>
      </c>
      <c r="F108" t="s">
        <v>308</v>
      </c>
      <c r="G108" t="s">
        <v>313</v>
      </c>
      <c r="H108" t="s">
        <v>314</v>
      </c>
      <c r="I108">
        <v>220</v>
      </c>
      <c r="J108" t="s">
        <v>140</v>
      </c>
      <c r="K108" t="s">
        <v>36</v>
      </c>
      <c r="L108" t="s">
        <v>13</v>
      </c>
    </row>
    <row r="109" spans="1:12" x14ac:dyDescent="0.5">
      <c r="A109" t="s">
        <v>315</v>
      </c>
      <c r="B109" t="str">
        <f>_xlfn.XLOOKUP(A109, 'sqft data'!A:A, 'sqft data'!C:C, "Not Found")</f>
        <v>Not Found</v>
      </c>
      <c r="C109" t="str">
        <f>_xlfn.XLOOKUP(A109, 'bedroom data'!A:A, 'bedroom data'!B:B, "Not Found")</f>
        <v>FivePlusBed</v>
      </c>
      <c r="D109">
        <f>_xlfn.XLOOKUP(A109, 'bathroom data'!A:A, 'bathroom data'!B:B, "Not Found")</f>
        <v>3.5</v>
      </c>
      <c r="E109" t="str">
        <f>_xlfn.XLOOKUP(A109, 'bedroom data'!A:A, 'bedroom data'!C:C, "Not Found")</f>
        <v>Arlington</v>
      </c>
      <c r="F109" t="s">
        <v>316</v>
      </c>
      <c r="G109" t="s">
        <v>317</v>
      </c>
      <c r="H109" t="s">
        <v>144</v>
      </c>
      <c r="I109">
        <v>133.33000000000001</v>
      </c>
      <c r="J109" t="s">
        <v>318</v>
      </c>
      <c r="K109" t="s">
        <v>36</v>
      </c>
      <c r="L109" t="s">
        <v>13</v>
      </c>
    </row>
    <row r="110" spans="1:12" x14ac:dyDescent="0.5">
      <c r="A110" t="s">
        <v>319</v>
      </c>
      <c r="B110">
        <f>_xlfn.XLOOKUP(A110, 'sqft data'!A:A, 'sqft data'!C:C, "Not Found")</f>
        <v>518</v>
      </c>
      <c r="C110">
        <f>_xlfn.XLOOKUP(A110, 'bedroom data'!A:A, 'bedroom data'!B:B, "Not Found")</f>
        <v>1</v>
      </c>
      <c r="D110">
        <f>_xlfn.XLOOKUP(A110, 'bathroom data'!A:A, 'bathroom data'!B:B, "Not Found")</f>
        <v>1</v>
      </c>
      <c r="E110" t="str">
        <f>_xlfn.XLOOKUP(A110, 'bedroom data'!A:A, 'bedroom data'!C:C, "Not Found")</f>
        <v>Shepherd Park</v>
      </c>
      <c r="F110" t="s">
        <v>320</v>
      </c>
      <c r="G110" t="s">
        <v>321</v>
      </c>
      <c r="H110" t="s">
        <v>300</v>
      </c>
      <c r="I110">
        <v>90</v>
      </c>
      <c r="J110" t="s">
        <v>322</v>
      </c>
      <c r="K110" t="s">
        <v>13</v>
      </c>
      <c r="L110" t="s">
        <v>36</v>
      </c>
    </row>
    <row r="111" spans="1:12" x14ac:dyDescent="0.5">
      <c r="A111" t="s">
        <v>319</v>
      </c>
      <c r="B111">
        <f>_xlfn.XLOOKUP(A111, 'sqft data'!A:A, 'sqft data'!C:C, "Not Found")</f>
        <v>518</v>
      </c>
      <c r="C111">
        <f>_xlfn.XLOOKUP(A111, 'bedroom data'!A:A, 'bedroom data'!B:B, "Not Found")</f>
        <v>1</v>
      </c>
      <c r="D111">
        <f>_xlfn.XLOOKUP(A111, 'bathroom data'!A:A, 'bathroom data'!B:B, "Not Found")</f>
        <v>1</v>
      </c>
      <c r="E111" t="str">
        <f>_xlfn.XLOOKUP(A111, 'bedroom data'!A:A, 'bedroom data'!C:C, "Not Found")</f>
        <v>Shepherd Park</v>
      </c>
      <c r="F111" t="s">
        <v>320</v>
      </c>
      <c r="G111" t="s">
        <v>323</v>
      </c>
      <c r="H111" t="s">
        <v>253</v>
      </c>
      <c r="I111">
        <v>85</v>
      </c>
      <c r="J111" t="s">
        <v>194</v>
      </c>
      <c r="K111" t="s">
        <v>36</v>
      </c>
      <c r="L111" t="s">
        <v>13</v>
      </c>
    </row>
    <row r="112" spans="1:12" x14ac:dyDescent="0.5">
      <c r="A112" t="s">
        <v>324</v>
      </c>
      <c r="B112" t="str">
        <f>_xlfn.XLOOKUP(A112, 'sqft data'!A:A, 'sqft data'!C:C, "Not Found")</f>
        <v>Not Found</v>
      </c>
      <c r="C112">
        <f>_xlfn.XLOOKUP(A112, 'bedroom data'!A:A, 'bedroom data'!B:B, "Not Found")</f>
        <v>3</v>
      </c>
      <c r="D112">
        <f>_xlfn.XLOOKUP(A112, 'bathroom data'!A:A, 'bathroom data'!B:B, "Not Found")</f>
        <v>3</v>
      </c>
      <c r="E112" t="str">
        <f>_xlfn.XLOOKUP(A112, 'bedroom data'!A:A, 'bedroom data'!C:C, "Not Found")</f>
        <v>Capitol Hill</v>
      </c>
      <c r="F112" t="s">
        <v>325</v>
      </c>
      <c r="G112" t="s">
        <v>326</v>
      </c>
      <c r="H112" t="s">
        <v>180</v>
      </c>
      <c r="I112">
        <v>200</v>
      </c>
      <c r="J112" t="s">
        <v>327</v>
      </c>
      <c r="K112" t="s">
        <v>13</v>
      </c>
      <c r="L112" t="s">
        <v>13</v>
      </c>
    </row>
    <row r="113" spans="1:12" x14ac:dyDescent="0.5">
      <c r="A113" t="s">
        <v>324</v>
      </c>
      <c r="B113" t="str">
        <f>_xlfn.XLOOKUP(A113, 'sqft data'!A:A, 'sqft data'!C:C, "Not Found")</f>
        <v>Not Found</v>
      </c>
      <c r="C113">
        <f>_xlfn.XLOOKUP(A113, 'bedroom data'!A:A, 'bedroom data'!B:B, "Not Found")</f>
        <v>3</v>
      </c>
      <c r="D113">
        <f>_xlfn.XLOOKUP(A113, 'bathroom data'!A:A, 'bathroom data'!B:B, "Not Found")</f>
        <v>3</v>
      </c>
      <c r="E113" t="str">
        <f>_xlfn.XLOOKUP(A113, 'bedroom data'!A:A, 'bedroom data'!C:C, "Not Found")</f>
        <v>Capitol Hill</v>
      </c>
      <c r="F113" t="s">
        <v>325</v>
      </c>
      <c r="G113" t="s">
        <v>328</v>
      </c>
      <c r="H113" t="s">
        <v>329</v>
      </c>
      <c r="I113">
        <v>0</v>
      </c>
      <c r="J113" t="s">
        <v>328</v>
      </c>
      <c r="K113" t="s">
        <v>13</v>
      </c>
      <c r="L113" t="s">
        <v>13</v>
      </c>
    </row>
    <row r="114" spans="1:12" x14ac:dyDescent="0.5">
      <c r="A114" t="s">
        <v>330</v>
      </c>
      <c r="B114" t="str">
        <f>_xlfn.XLOOKUP(A114, 'sqft data'!A:A, 'sqft data'!C:C, "Not Found")</f>
        <v>Not Found</v>
      </c>
      <c r="C114">
        <f>_xlfn.XLOOKUP(A114, 'bedroom data'!A:A, 'bedroom data'!B:B, "Not Found")</f>
        <v>4</v>
      </c>
      <c r="D114">
        <f>_xlfn.XLOOKUP(A114, 'bathroom data'!A:A, 'bathroom data'!B:B, "Not Found")</f>
        <v>3.5</v>
      </c>
      <c r="E114" t="str">
        <f>_xlfn.XLOOKUP(A114, 'bedroom data'!A:A, 'bedroom data'!C:C, "Not Found")</f>
        <v>Capitol Hill</v>
      </c>
      <c r="F114" t="s">
        <v>331</v>
      </c>
      <c r="G114" t="s">
        <v>332</v>
      </c>
      <c r="H114" t="s">
        <v>333</v>
      </c>
      <c r="I114">
        <v>193.33</v>
      </c>
      <c r="J114" t="s">
        <v>334</v>
      </c>
      <c r="K114" t="s">
        <v>13</v>
      </c>
      <c r="L114" t="s">
        <v>13</v>
      </c>
    </row>
    <row r="115" spans="1:12" x14ac:dyDescent="0.5">
      <c r="A115" t="s">
        <v>330</v>
      </c>
      <c r="B115" t="str">
        <f>_xlfn.XLOOKUP(A115, 'sqft data'!A:A, 'sqft data'!C:C, "Not Found")</f>
        <v>Not Found</v>
      </c>
      <c r="C115">
        <f>_xlfn.XLOOKUP(A115, 'bedroom data'!A:A, 'bedroom data'!B:B, "Not Found")</f>
        <v>4</v>
      </c>
      <c r="D115">
        <f>_xlfn.XLOOKUP(A115, 'bathroom data'!A:A, 'bathroom data'!B:B, "Not Found")</f>
        <v>3.5</v>
      </c>
      <c r="E115" t="str">
        <f>_xlfn.XLOOKUP(A115, 'bedroom data'!A:A, 'bedroom data'!C:C, "Not Found")</f>
        <v>Capitol Hill</v>
      </c>
      <c r="F115" t="s">
        <v>331</v>
      </c>
      <c r="G115" t="s">
        <v>295</v>
      </c>
      <c r="H115" t="s">
        <v>335</v>
      </c>
      <c r="I115">
        <v>208</v>
      </c>
      <c r="J115" t="s">
        <v>24</v>
      </c>
      <c r="K115" t="s">
        <v>13</v>
      </c>
      <c r="L115" t="s">
        <v>13</v>
      </c>
    </row>
    <row r="116" spans="1:12" x14ac:dyDescent="0.5">
      <c r="A116" t="s">
        <v>336</v>
      </c>
      <c r="B116">
        <f>_xlfn.XLOOKUP(A116, 'sqft data'!A:A, 'sqft data'!C:C, "Not Found")</f>
        <v>2000</v>
      </c>
      <c r="C116">
        <f>_xlfn.XLOOKUP(A116, 'bedroom data'!A:A, 'bedroom data'!B:B, "Not Found")</f>
        <v>2</v>
      </c>
      <c r="D116">
        <f>_xlfn.XLOOKUP(A116, 'bathroom data'!A:A, 'bathroom data'!B:B, "Not Found")</f>
        <v>3</v>
      </c>
      <c r="E116" t="str">
        <f>_xlfn.XLOOKUP(A116, 'bedroom data'!A:A, 'bedroom data'!C:C, "Not Found")</f>
        <v>Waterfront</v>
      </c>
      <c r="F116" t="s">
        <v>337</v>
      </c>
      <c r="G116" t="s">
        <v>338</v>
      </c>
      <c r="H116" t="s">
        <v>55</v>
      </c>
      <c r="I116">
        <v>220</v>
      </c>
      <c r="J116" t="s">
        <v>339</v>
      </c>
      <c r="K116" t="s">
        <v>13</v>
      </c>
      <c r="L116" t="s">
        <v>13</v>
      </c>
    </row>
    <row r="117" spans="1:12" x14ac:dyDescent="0.5">
      <c r="A117" t="s">
        <v>336</v>
      </c>
      <c r="B117">
        <f>_xlfn.XLOOKUP(A117, 'sqft data'!A:A, 'sqft data'!C:C, "Not Found")</f>
        <v>2000</v>
      </c>
      <c r="C117">
        <f>_xlfn.XLOOKUP(A117, 'bedroom data'!A:A, 'bedroom data'!B:B, "Not Found")</f>
        <v>2</v>
      </c>
      <c r="D117">
        <f>_xlfn.XLOOKUP(A117, 'bathroom data'!A:A, 'bathroom data'!B:B, "Not Found")</f>
        <v>3</v>
      </c>
      <c r="E117" t="str">
        <f>_xlfn.XLOOKUP(A117, 'bedroom data'!A:A, 'bedroom data'!C:C, "Not Found")</f>
        <v>Waterfront</v>
      </c>
      <c r="F117" t="s">
        <v>337</v>
      </c>
      <c r="G117" t="s">
        <v>16</v>
      </c>
      <c r="H117" t="s">
        <v>45</v>
      </c>
      <c r="I117">
        <v>220</v>
      </c>
      <c r="J117" t="s">
        <v>215</v>
      </c>
      <c r="K117" t="s">
        <v>36</v>
      </c>
      <c r="L117" t="s">
        <v>36</v>
      </c>
    </row>
    <row r="118" spans="1:12" x14ac:dyDescent="0.5">
      <c r="A118" t="s">
        <v>336</v>
      </c>
      <c r="B118">
        <f>_xlfn.XLOOKUP(A118, 'sqft data'!A:A, 'sqft data'!C:C, "Not Found")</f>
        <v>2000</v>
      </c>
      <c r="C118">
        <f>_xlfn.XLOOKUP(A118, 'bedroom data'!A:A, 'bedroom data'!B:B, "Not Found")</f>
        <v>2</v>
      </c>
      <c r="D118">
        <f>_xlfn.XLOOKUP(A118, 'bathroom data'!A:A, 'bathroom data'!B:B, "Not Found")</f>
        <v>3</v>
      </c>
      <c r="E118" t="str">
        <f>_xlfn.XLOOKUP(A118, 'bedroom data'!A:A, 'bedroom data'!C:C, "Not Found")</f>
        <v>Waterfront</v>
      </c>
      <c r="F118" t="s">
        <v>337</v>
      </c>
      <c r="G118" t="s">
        <v>68</v>
      </c>
      <c r="H118" t="s">
        <v>340</v>
      </c>
      <c r="I118">
        <v>195</v>
      </c>
      <c r="J118" t="s">
        <v>341</v>
      </c>
      <c r="K118" t="s">
        <v>36</v>
      </c>
      <c r="L118" t="s">
        <v>13</v>
      </c>
    </row>
    <row r="119" spans="1:12" x14ac:dyDescent="0.5">
      <c r="A119" t="s">
        <v>342</v>
      </c>
      <c r="B119">
        <f>_xlfn.XLOOKUP(A119, 'sqft data'!A:A, 'sqft data'!C:C, "Not Found")</f>
        <v>675</v>
      </c>
      <c r="C119">
        <f>_xlfn.XLOOKUP(A119, 'bedroom data'!A:A, 'bedroom data'!B:B, "Not Found")</f>
        <v>1</v>
      </c>
      <c r="D119">
        <f>_xlfn.XLOOKUP(A119, 'bathroom data'!A:A, 'bathroom data'!B:B, "Not Found")</f>
        <v>1</v>
      </c>
      <c r="E119" t="str">
        <f>_xlfn.XLOOKUP(A119, 'bedroom data'!A:A, 'bedroom data'!C:C, "Not Found")</f>
        <v>Capitol Hill</v>
      </c>
      <c r="F119" t="s">
        <v>343</v>
      </c>
      <c r="G119" t="s">
        <v>344</v>
      </c>
      <c r="H119" t="s">
        <v>44</v>
      </c>
      <c r="I119">
        <v>140</v>
      </c>
      <c r="J119" t="s">
        <v>164</v>
      </c>
      <c r="K119" t="s">
        <v>13</v>
      </c>
      <c r="L119" t="s">
        <v>13</v>
      </c>
    </row>
    <row r="120" spans="1:12" x14ac:dyDescent="0.5">
      <c r="A120" t="s">
        <v>342</v>
      </c>
      <c r="B120">
        <f>_xlfn.XLOOKUP(A120, 'sqft data'!A:A, 'sqft data'!C:C, "Not Found")</f>
        <v>675</v>
      </c>
      <c r="C120">
        <f>_xlfn.XLOOKUP(A120, 'bedroom data'!A:A, 'bedroom data'!B:B, "Not Found")</f>
        <v>1</v>
      </c>
      <c r="D120">
        <f>_xlfn.XLOOKUP(A120, 'bathroom data'!A:A, 'bathroom data'!B:B, "Not Found")</f>
        <v>1</v>
      </c>
      <c r="E120" t="str">
        <f>_xlfn.XLOOKUP(A120, 'bedroom data'!A:A, 'bedroom data'!C:C, "Not Found")</f>
        <v>Capitol Hill</v>
      </c>
      <c r="F120" t="s">
        <v>343</v>
      </c>
      <c r="G120" t="s">
        <v>345</v>
      </c>
      <c r="H120" t="s">
        <v>190</v>
      </c>
      <c r="I120">
        <v>133</v>
      </c>
      <c r="J120" t="s">
        <v>245</v>
      </c>
      <c r="K120" t="s">
        <v>13</v>
      </c>
      <c r="L120" t="s">
        <v>13</v>
      </c>
    </row>
    <row r="121" spans="1:12" x14ac:dyDescent="0.5">
      <c r="A121" t="s">
        <v>342</v>
      </c>
      <c r="B121">
        <f>_xlfn.XLOOKUP(A121, 'sqft data'!A:A, 'sqft data'!C:C, "Not Found")</f>
        <v>675</v>
      </c>
      <c r="C121">
        <f>_xlfn.XLOOKUP(A121, 'bedroom data'!A:A, 'bedroom data'!B:B, "Not Found")</f>
        <v>1</v>
      </c>
      <c r="D121">
        <f>_xlfn.XLOOKUP(A121, 'bathroom data'!A:A, 'bathroom data'!B:B, "Not Found")</f>
        <v>1</v>
      </c>
      <c r="E121" t="str">
        <f>_xlfn.XLOOKUP(A121, 'bedroom data'!A:A, 'bedroom data'!C:C, "Not Found")</f>
        <v>Capitol Hill</v>
      </c>
      <c r="F121" t="s">
        <v>343</v>
      </c>
      <c r="G121" t="s">
        <v>192</v>
      </c>
      <c r="H121" t="s">
        <v>88</v>
      </c>
      <c r="I121">
        <v>140</v>
      </c>
      <c r="J121" t="s">
        <v>346</v>
      </c>
      <c r="K121" t="s">
        <v>13</v>
      </c>
      <c r="L121" t="s">
        <v>13</v>
      </c>
    </row>
    <row r="122" spans="1:12" x14ac:dyDescent="0.5">
      <c r="A122" t="s">
        <v>342</v>
      </c>
      <c r="B122">
        <f>_xlfn.XLOOKUP(A122, 'sqft data'!A:A, 'sqft data'!C:C, "Not Found")</f>
        <v>675</v>
      </c>
      <c r="C122">
        <f>_xlfn.XLOOKUP(A122, 'bedroom data'!A:A, 'bedroom data'!B:B, "Not Found")</f>
        <v>1</v>
      </c>
      <c r="D122">
        <f>_xlfn.XLOOKUP(A122, 'bathroom data'!A:A, 'bathroom data'!B:B, "Not Found")</f>
        <v>1</v>
      </c>
      <c r="E122" t="str">
        <f>_xlfn.XLOOKUP(A122, 'bedroom data'!A:A, 'bedroom data'!C:C, "Not Found")</f>
        <v>Capitol Hill</v>
      </c>
      <c r="F122" t="s">
        <v>343</v>
      </c>
      <c r="G122" t="s">
        <v>102</v>
      </c>
      <c r="H122" t="s">
        <v>347</v>
      </c>
      <c r="I122">
        <v>140</v>
      </c>
      <c r="J122" t="s">
        <v>145</v>
      </c>
      <c r="K122" t="s">
        <v>13</v>
      </c>
      <c r="L122" t="s">
        <v>36</v>
      </c>
    </row>
    <row r="123" spans="1:12" x14ac:dyDescent="0.5">
      <c r="A123" t="s">
        <v>342</v>
      </c>
      <c r="B123">
        <f>_xlfn.XLOOKUP(A123, 'sqft data'!A:A, 'sqft data'!C:C, "Not Found")</f>
        <v>675</v>
      </c>
      <c r="C123">
        <f>_xlfn.XLOOKUP(A123, 'bedroom data'!A:A, 'bedroom data'!B:B, "Not Found")</f>
        <v>1</v>
      </c>
      <c r="D123">
        <f>_xlfn.XLOOKUP(A123, 'bathroom data'!A:A, 'bathroom data'!B:B, "Not Found")</f>
        <v>1</v>
      </c>
      <c r="E123" t="str">
        <f>_xlfn.XLOOKUP(A123, 'bedroom data'!A:A, 'bedroom data'!C:C, "Not Found")</f>
        <v>Capitol Hill</v>
      </c>
      <c r="F123" t="s">
        <v>343</v>
      </c>
      <c r="G123" t="s">
        <v>348</v>
      </c>
      <c r="H123" t="s">
        <v>349</v>
      </c>
      <c r="I123">
        <v>145</v>
      </c>
      <c r="J123" t="s">
        <v>350</v>
      </c>
      <c r="K123" t="s">
        <v>13</v>
      </c>
      <c r="L123" t="s">
        <v>36</v>
      </c>
    </row>
    <row r="124" spans="1:12" x14ac:dyDescent="0.5">
      <c r="A124" t="s">
        <v>351</v>
      </c>
      <c r="B124" t="str">
        <f>_xlfn.XLOOKUP(A124, 'sqft data'!A:A, 'sqft data'!C:C, "Not Found")</f>
        <v>Not Found</v>
      </c>
      <c r="C124">
        <f>_xlfn.XLOOKUP(A124, 'bedroom data'!A:A, 'bedroom data'!B:B, "Not Found")</f>
        <v>3</v>
      </c>
      <c r="D124">
        <f>_xlfn.XLOOKUP(A124, 'bathroom data'!A:A, 'bathroom data'!B:B, "Not Found")</f>
        <v>3</v>
      </c>
      <c r="E124" t="str">
        <f>_xlfn.XLOOKUP(A124, 'bedroom data'!A:A, 'bedroom data'!C:C, "Not Found")</f>
        <v>The Wharf</v>
      </c>
      <c r="F124" t="s">
        <v>352</v>
      </c>
      <c r="G124" t="s">
        <v>353</v>
      </c>
      <c r="H124" t="s">
        <v>96</v>
      </c>
      <c r="I124">
        <v>330</v>
      </c>
      <c r="J124" t="s">
        <v>354</v>
      </c>
      <c r="K124" t="s">
        <v>13</v>
      </c>
      <c r="L124" t="s">
        <v>13</v>
      </c>
    </row>
    <row r="125" spans="1:12" x14ac:dyDescent="0.5">
      <c r="A125" t="s">
        <v>355</v>
      </c>
      <c r="B125" t="str">
        <f>_xlfn.XLOOKUP(A125, 'sqft data'!A:A, 'sqft data'!C:C, "Not Found")</f>
        <v>Not Found</v>
      </c>
      <c r="C125">
        <f>_xlfn.XLOOKUP(A125, 'bedroom data'!A:A, 'bedroom data'!B:B, "Not Found")</f>
        <v>1</v>
      </c>
      <c r="D125">
        <f>_xlfn.XLOOKUP(A125, 'bathroom data'!A:A, 'bathroom data'!B:B, "Not Found")</f>
        <v>1</v>
      </c>
      <c r="E125" t="str">
        <f>_xlfn.XLOOKUP(A125, 'bedroom data'!A:A, 'bedroom data'!C:C, "Not Found")</f>
        <v>Penn Quarter</v>
      </c>
      <c r="F125" t="s">
        <v>356</v>
      </c>
      <c r="G125" t="s">
        <v>133</v>
      </c>
      <c r="H125" t="s">
        <v>357</v>
      </c>
      <c r="I125">
        <v>0</v>
      </c>
      <c r="J125" t="s">
        <v>133</v>
      </c>
      <c r="K125" t="s">
        <v>13</v>
      </c>
      <c r="L125" t="s">
        <v>13</v>
      </c>
    </row>
    <row r="126" spans="1:12" x14ac:dyDescent="0.5">
      <c r="A126" t="s">
        <v>358</v>
      </c>
      <c r="B126" t="str">
        <f>_xlfn.XLOOKUP(A126, 'sqft data'!A:A, 'sqft data'!C:C, "Not Found")</f>
        <v>Not Found</v>
      </c>
      <c r="C126">
        <f>_xlfn.XLOOKUP(A126, 'bedroom data'!A:A, 'bedroom data'!B:B, "Not Found")</f>
        <v>2</v>
      </c>
      <c r="D126">
        <f>_xlfn.XLOOKUP(A126, 'bathroom data'!A:A, 'bathroom data'!B:B, "Not Found")</f>
        <v>2</v>
      </c>
      <c r="E126" t="str">
        <f>_xlfn.XLOOKUP(A126, 'bedroom data'!A:A, 'bedroom data'!C:C, "Not Found")</f>
        <v>Penn Quarter</v>
      </c>
      <c r="F126" t="s">
        <v>359</v>
      </c>
      <c r="G126" t="s">
        <v>163</v>
      </c>
      <c r="H126" t="s">
        <v>137</v>
      </c>
      <c r="I126">
        <v>165</v>
      </c>
      <c r="J126" t="s">
        <v>360</v>
      </c>
      <c r="K126" t="s">
        <v>36</v>
      </c>
      <c r="L126" t="s">
        <v>13</v>
      </c>
    </row>
    <row r="127" spans="1:12" x14ac:dyDescent="0.5">
      <c r="A127" t="s">
        <v>361</v>
      </c>
      <c r="B127" t="str">
        <f>_xlfn.XLOOKUP(A127, 'sqft data'!A:A, 'sqft data'!C:C, "Not Found")</f>
        <v>Not Found</v>
      </c>
      <c r="C127">
        <f>_xlfn.XLOOKUP(A127, 'bedroom data'!A:A, 'bedroom data'!B:B, "Not Found")</f>
        <v>4</v>
      </c>
      <c r="D127">
        <f>_xlfn.XLOOKUP(A127, 'bathroom data'!A:A, 'bathroom data'!B:B, "Not Found")</f>
        <v>3.5</v>
      </c>
      <c r="E127" t="str">
        <f>_xlfn.XLOOKUP(A127, 'bedroom data'!A:A, 'bedroom data'!C:C, "Not Found")</f>
        <v>Arlington</v>
      </c>
      <c r="F127" t="s">
        <v>207</v>
      </c>
      <c r="G127" t="s">
        <v>362</v>
      </c>
      <c r="H127" t="s">
        <v>133</v>
      </c>
      <c r="I127">
        <v>227</v>
      </c>
      <c r="J127" t="s">
        <v>354</v>
      </c>
      <c r="K127" t="s">
        <v>13</v>
      </c>
      <c r="L127" t="s">
        <v>13</v>
      </c>
    </row>
    <row r="128" spans="1:12" x14ac:dyDescent="0.5">
      <c r="A128" t="s">
        <v>363</v>
      </c>
      <c r="B128" t="str">
        <f>_xlfn.XLOOKUP(A128, 'sqft data'!A:A, 'sqft data'!C:C, "Not Found")</f>
        <v>Not Found</v>
      </c>
      <c r="C128">
        <f>_xlfn.XLOOKUP(A128, 'bedroom data'!A:A, 'bedroom data'!B:B, "Not Found")</f>
        <v>3</v>
      </c>
      <c r="D128" t="e">
        <f>_xlfn.XLOOKUP(A128, 'bathroom data'!A:A, 'bathroom data'!B:B, "Not Found")</f>
        <v>#VALUE!</v>
      </c>
      <c r="E128" t="str">
        <f>_xlfn.XLOOKUP(A128, 'bedroom data'!A:A, 'bedroom data'!C:C, "Not Found")</f>
        <v>Chevy Chase</v>
      </c>
      <c r="F128" t="s">
        <v>364</v>
      </c>
      <c r="G128" t="s">
        <v>113</v>
      </c>
      <c r="H128" t="s">
        <v>189</v>
      </c>
      <c r="I128">
        <v>0</v>
      </c>
      <c r="J128" t="s">
        <v>113</v>
      </c>
      <c r="K128" t="s">
        <v>13</v>
      </c>
      <c r="L128" t="s">
        <v>13</v>
      </c>
    </row>
    <row r="129" spans="1:12" x14ac:dyDescent="0.5">
      <c r="A129" t="s">
        <v>363</v>
      </c>
      <c r="B129" t="str">
        <f>_xlfn.XLOOKUP(A129, 'sqft data'!A:A, 'sqft data'!C:C, "Not Found")</f>
        <v>Not Found</v>
      </c>
      <c r="C129">
        <f>_xlfn.XLOOKUP(A129, 'bedroom data'!A:A, 'bedroom data'!B:B, "Not Found")</f>
        <v>3</v>
      </c>
      <c r="D129" t="e">
        <f>_xlfn.XLOOKUP(A129, 'bathroom data'!A:A, 'bathroom data'!B:B, "Not Found")</f>
        <v>#VALUE!</v>
      </c>
      <c r="E129" t="str">
        <f>_xlfn.XLOOKUP(A129, 'bedroom data'!A:A, 'bedroom data'!C:C, "Not Found")</f>
        <v>Chevy Chase</v>
      </c>
      <c r="F129" t="s">
        <v>364</v>
      </c>
      <c r="G129" t="s">
        <v>346</v>
      </c>
      <c r="H129" t="s">
        <v>40</v>
      </c>
      <c r="I129">
        <v>0</v>
      </c>
      <c r="J129" t="s">
        <v>346</v>
      </c>
      <c r="K129" t="s">
        <v>13</v>
      </c>
      <c r="L129" t="s">
        <v>13</v>
      </c>
    </row>
    <row r="130" spans="1:12" x14ac:dyDescent="0.5">
      <c r="A130" t="s">
        <v>365</v>
      </c>
      <c r="B130">
        <f>_xlfn.XLOOKUP(A130, 'sqft data'!A:A, 'sqft data'!C:C, "Not Found")</f>
        <v>1300</v>
      </c>
      <c r="C130">
        <f>_xlfn.XLOOKUP(A130, 'bedroom data'!A:A, 'bedroom data'!B:B, "Not Found")</f>
        <v>2</v>
      </c>
      <c r="D130">
        <f>_xlfn.XLOOKUP(A130, 'bathroom data'!A:A, 'bathroom data'!B:B, "Not Found")</f>
        <v>2</v>
      </c>
      <c r="E130" t="str">
        <f>_xlfn.XLOOKUP(A130, 'bedroom data'!A:A, 'bedroom data'!C:C, "Not Found")</f>
        <v>Alexandria</v>
      </c>
      <c r="F130" t="s">
        <v>366</v>
      </c>
      <c r="G130" t="s">
        <v>367</v>
      </c>
      <c r="H130" t="s">
        <v>368</v>
      </c>
      <c r="I130">
        <v>195</v>
      </c>
      <c r="J130" t="s">
        <v>369</v>
      </c>
      <c r="K130" t="s">
        <v>13</v>
      </c>
      <c r="L130" t="s">
        <v>13</v>
      </c>
    </row>
    <row r="131" spans="1:12" x14ac:dyDescent="0.5">
      <c r="A131" t="s">
        <v>370</v>
      </c>
      <c r="B131" t="str">
        <f>_xlfn.XLOOKUP(A131, 'sqft data'!A:A, 'sqft data'!C:C, "Not Found")</f>
        <v>Not Found</v>
      </c>
      <c r="C131">
        <f>_xlfn.XLOOKUP(A131, 'bedroom data'!A:A, 'bedroom data'!B:B, "Not Found")</f>
        <v>4</v>
      </c>
      <c r="D131">
        <f>_xlfn.XLOOKUP(A131, 'bathroom data'!A:A, 'bathroom data'!B:B, "Not Found")</f>
        <v>3.5</v>
      </c>
      <c r="E131" t="str">
        <f>_xlfn.XLOOKUP(A131, 'bedroom data'!A:A, 'bedroom data'!C:C, "Not Found")</f>
        <v>Palisades</v>
      </c>
      <c r="F131" t="s">
        <v>371</v>
      </c>
      <c r="G131" t="s">
        <v>372</v>
      </c>
      <c r="H131" t="s">
        <v>93</v>
      </c>
      <c r="I131">
        <v>210</v>
      </c>
      <c r="J131" t="s">
        <v>373</v>
      </c>
      <c r="K131" t="s">
        <v>13</v>
      </c>
      <c r="L131" t="s">
        <v>13</v>
      </c>
    </row>
    <row r="132" spans="1:12" x14ac:dyDescent="0.5">
      <c r="A132" t="s">
        <v>374</v>
      </c>
      <c r="B132" t="str">
        <f>_xlfn.XLOOKUP(A132, 'sqft data'!A:A, 'sqft data'!C:C, "Not Found")</f>
        <v>Not Found</v>
      </c>
      <c r="C132">
        <f>_xlfn.XLOOKUP(A132, 'bedroom data'!A:A, 'bedroom data'!B:B, "Not Found")</f>
        <v>1</v>
      </c>
      <c r="D132">
        <f>_xlfn.XLOOKUP(A132, 'bathroom data'!A:A, 'bathroom data'!B:B, "Not Found")</f>
        <v>1</v>
      </c>
      <c r="E132" t="str">
        <f>_xlfn.XLOOKUP(A132, 'bedroom data'!A:A, 'bedroom data'!C:C, "Not Found")</f>
        <v>Capitol Hill</v>
      </c>
      <c r="F132" t="s">
        <v>20</v>
      </c>
      <c r="G132" t="s">
        <v>375</v>
      </c>
      <c r="H132" t="s">
        <v>376</v>
      </c>
      <c r="I132">
        <v>0</v>
      </c>
      <c r="J132" t="s">
        <v>377</v>
      </c>
      <c r="K132" t="s">
        <v>13</v>
      </c>
      <c r="L132" t="s">
        <v>13</v>
      </c>
    </row>
    <row r="133" spans="1:12" x14ac:dyDescent="0.5">
      <c r="A133" t="s">
        <v>374</v>
      </c>
      <c r="B133" t="str">
        <f>_xlfn.XLOOKUP(A133, 'sqft data'!A:A, 'sqft data'!C:C, "Not Found")</f>
        <v>Not Found</v>
      </c>
      <c r="C133">
        <f>_xlfn.XLOOKUP(A133, 'bedroom data'!A:A, 'bedroom data'!B:B, "Not Found")</f>
        <v>1</v>
      </c>
      <c r="D133">
        <f>_xlfn.XLOOKUP(A133, 'bathroom data'!A:A, 'bathroom data'!B:B, "Not Found")</f>
        <v>1</v>
      </c>
      <c r="E133" t="str">
        <f>_xlfn.XLOOKUP(A133, 'bedroom data'!A:A, 'bedroom data'!C:C, "Not Found")</f>
        <v>Capitol Hill</v>
      </c>
      <c r="F133" t="s">
        <v>20</v>
      </c>
      <c r="G133" t="s">
        <v>282</v>
      </c>
      <c r="H133" t="s">
        <v>288</v>
      </c>
      <c r="I133">
        <v>0</v>
      </c>
      <c r="J133" t="s">
        <v>21</v>
      </c>
      <c r="K133" t="s">
        <v>13</v>
      </c>
      <c r="L133" t="s">
        <v>13</v>
      </c>
    </row>
    <row r="134" spans="1:12" x14ac:dyDescent="0.5">
      <c r="A134" t="s">
        <v>374</v>
      </c>
      <c r="B134" t="str">
        <f>_xlfn.XLOOKUP(A134, 'sqft data'!A:A, 'sqft data'!C:C, "Not Found")</f>
        <v>Not Found</v>
      </c>
      <c r="C134">
        <f>_xlfn.XLOOKUP(A134, 'bedroom data'!A:A, 'bedroom data'!B:B, "Not Found")</f>
        <v>1</v>
      </c>
      <c r="D134">
        <f>_xlfn.XLOOKUP(A134, 'bathroom data'!A:A, 'bathroom data'!B:B, "Not Found")</f>
        <v>1</v>
      </c>
      <c r="E134" t="str">
        <f>_xlfn.XLOOKUP(A134, 'bedroom data'!A:A, 'bedroom data'!C:C, "Not Found")</f>
        <v>Capitol Hill</v>
      </c>
      <c r="F134" t="s">
        <v>20</v>
      </c>
      <c r="G134" t="s">
        <v>289</v>
      </c>
      <c r="H134" t="s">
        <v>284</v>
      </c>
      <c r="I134">
        <v>0</v>
      </c>
      <c r="J134" t="s">
        <v>378</v>
      </c>
      <c r="K134" t="s">
        <v>13</v>
      </c>
      <c r="L134" t="s">
        <v>13</v>
      </c>
    </row>
    <row r="135" spans="1:12" x14ac:dyDescent="0.5">
      <c r="A135" t="s">
        <v>374</v>
      </c>
      <c r="B135" t="str">
        <f>_xlfn.XLOOKUP(A135, 'sqft data'!A:A, 'sqft data'!C:C, "Not Found")</f>
        <v>Not Found</v>
      </c>
      <c r="C135">
        <f>_xlfn.XLOOKUP(A135, 'bedroom data'!A:A, 'bedroom data'!B:B, "Not Found")</f>
        <v>1</v>
      </c>
      <c r="D135">
        <f>_xlfn.XLOOKUP(A135, 'bathroom data'!A:A, 'bathroom data'!B:B, "Not Found")</f>
        <v>1</v>
      </c>
      <c r="E135" t="str">
        <f>_xlfn.XLOOKUP(A135, 'bedroom data'!A:A, 'bedroom data'!C:C, "Not Found")</f>
        <v>Capitol Hill</v>
      </c>
      <c r="F135" t="s">
        <v>20</v>
      </c>
      <c r="G135" t="s">
        <v>379</v>
      </c>
      <c r="H135" t="s">
        <v>380</v>
      </c>
      <c r="I135">
        <v>0</v>
      </c>
      <c r="J135" t="s">
        <v>26</v>
      </c>
      <c r="K135" t="s">
        <v>13</v>
      </c>
      <c r="L135" t="s">
        <v>13</v>
      </c>
    </row>
    <row r="136" spans="1:12" x14ac:dyDescent="0.5">
      <c r="A136" t="s">
        <v>374</v>
      </c>
      <c r="B136" t="str">
        <f>_xlfn.XLOOKUP(A136, 'sqft data'!A:A, 'sqft data'!C:C, "Not Found")</f>
        <v>Not Found</v>
      </c>
      <c r="C136">
        <f>_xlfn.XLOOKUP(A136, 'bedroom data'!A:A, 'bedroom data'!B:B, "Not Found")</f>
        <v>1</v>
      </c>
      <c r="D136">
        <f>_xlfn.XLOOKUP(A136, 'bathroom data'!A:A, 'bathroom data'!B:B, "Not Found")</f>
        <v>1</v>
      </c>
      <c r="E136" t="str">
        <f>_xlfn.XLOOKUP(A136, 'bedroom data'!A:A, 'bedroom data'!C:C, "Not Found")</f>
        <v>Capitol Hill</v>
      </c>
      <c r="F136" t="s">
        <v>20</v>
      </c>
      <c r="G136" t="s">
        <v>301</v>
      </c>
      <c r="H136" t="s">
        <v>381</v>
      </c>
      <c r="I136">
        <v>0</v>
      </c>
      <c r="J136" t="s">
        <v>382</v>
      </c>
      <c r="K136" t="s">
        <v>13</v>
      </c>
      <c r="L136" t="s">
        <v>13</v>
      </c>
    </row>
    <row r="137" spans="1:12" x14ac:dyDescent="0.5">
      <c r="A137" t="s">
        <v>374</v>
      </c>
      <c r="B137" t="str">
        <f>_xlfn.XLOOKUP(A137, 'sqft data'!A:A, 'sqft data'!C:C, "Not Found")</f>
        <v>Not Found</v>
      </c>
      <c r="C137">
        <f>_xlfn.XLOOKUP(A137, 'bedroom data'!A:A, 'bedroom data'!B:B, "Not Found")</f>
        <v>1</v>
      </c>
      <c r="D137">
        <f>_xlfn.XLOOKUP(A137, 'bathroom data'!A:A, 'bathroom data'!B:B, "Not Found")</f>
        <v>1</v>
      </c>
      <c r="E137" t="str">
        <f>_xlfn.XLOOKUP(A137, 'bedroom data'!A:A, 'bedroom data'!C:C, "Not Found")</f>
        <v>Capitol Hill</v>
      </c>
      <c r="F137" t="s">
        <v>20</v>
      </c>
      <c r="G137" t="s">
        <v>383</v>
      </c>
      <c r="H137" t="s">
        <v>291</v>
      </c>
      <c r="I137">
        <v>0</v>
      </c>
      <c r="J137" t="s">
        <v>380</v>
      </c>
      <c r="K137" t="s">
        <v>13</v>
      </c>
      <c r="L137" t="s">
        <v>13</v>
      </c>
    </row>
    <row r="138" spans="1:12" x14ac:dyDescent="0.5">
      <c r="A138" t="s">
        <v>374</v>
      </c>
      <c r="B138" t="str">
        <f>_xlfn.XLOOKUP(A138, 'sqft data'!A:A, 'sqft data'!C:C, "Not Found")</f>
        <v>Not Found</v>
      </c>
      <c r="C138">
        <f>_xlfn.XLOOKUP(A138, 'bedroom data'!A:A, 'bedroom data'!B:B, "Not Found")</f>
        <v>1</v>
      </c>
      <c r="D138">
        <f>_xlfn.XLOOKUP(A138, 'bathroom data'!A:A, 'bathroom data'!B:B, "Not Found")</f>
        <v>1</v>
      </c>
      <c r="E138" t="str">
        <f>_xlfn.XLOOKUP(A138, 'bedroom data'!A:A, 'bedroom data'!C:C, "Not Found")</f>
        <v>Capitol Hill</v>
      </c>
      <c r="F138" t="s">
        <v>20</v>
      </c>
      <c r="G138" t="s">
        <v>384</v>
      </c>
      <c r="H138" t="s">
        <v>225</v>
      </c>
      <c r="I138">
        <v>0</v>
      </c>
      <c r="J138" t="s">
        <v>383</v>
      </c>
      <c r="K138" t="s">
        <v>13</v>
      </c>
      <c r="L138" t="s">
        <v>13</v>
      </c>
    </row>
    <row r="139" spans="1:12" x14ac:dyDescent="0.5">
      <c r="A139" t="s">
        <v>374</v>
      </c>
      <c r="B139" t="str">
        <f>_xlfn.XLOOKUP(A139, 'sqft data'!A:A, 'sqft data'!C:C, "Not Found")</f>
        <v>Not Found</v>
      </c>
      <c r="C139">
        <f>_xlfn.XLOOKUP(A139, 'bedroom data'!A:A, 'bedroom data'!B:B, "Not Found")</f>
        <v>1</v>
      </c>
      <c r="D139">
        <f>_xlfn.XLOOKUP(A139, 'bathroom data'!A:A, 'bathroom data'!B:B, "Not Found")</f>
        <v>1</v>
      </c>
      <c r="E139" t="str">
        <f>_xlfn.XLOOKUP(A139, 'bedroom data'!A:A, 'bedroom data'!C:C, "Not Found")</f>
        <v>Capitol Hill</v>
      </c>
      <c r="F139" t="s">
        <v>20</v>
      </c>
      <c r="G139" t="s">
        <v>385</v>
      </c>
      <c r="H139" t="s">
        <v>168</v>
      </c>
      <c r="I139">
        <v>0</v>
      </c>
      <c r="J139" t="s">
        <v>189</v>
      </c>
      <c r="K139" t="s">
        <v>13</v>
      </c>
      <c r="L139" t="s">
        <v>13</v>
      </c>
    </row>
    <row r="140" spans="1:12" x14ac:dyDescent="0.5">
      <c r="A140" t="s">
        <v>374</v>
      </c>
      <c r="B140" t="str">
        <f>_xlfn.XLOOKUP(A140, 'sqft data'!A:A, 'sqft data'!C:C, "Not Found")</f>
        <v>Not Found</v>
      </c>
      <c r="C140">
        <f>_xlfn.XLOOKUP(A140, 'bedroom data'!A:A, 'bedroom data'!B:B, "Not Found")</f>
        <v>1</v>
      </c>
      <c r="D140">
        <f>_xlfn.XLOOKUP(A140, 'bathroom data'!A:A, 'bathroom data'!B:B, "Not Found")</f>
        <v>1</v>
      </c>
      <c r="E140" t="str">
        <f>_xlfn.XLOOKUP(A140, 'bedroom data'!A:A, 'bedroom data'!C:C, "Not Found")</f>
        <v>Capitol Hill</v>
      </c>
      <c r="F140" t="s">
        <v>20</v>
      </c>
      <c r="G140" t="s">
        <v>192</v>
      </c>
      <c r="H140" t="s">
        <v>210</v>
      </c>
      <c r="I140">
        <v>0</v>
      </c>
      <c r="J140" t="s">
        <v>252</v>
      </c>
      <c r="K140" t="s">
        <v>13</v>
      </c>
      <c r="L140" t="s">
        <v>13</v>
      </c>
    </row>
    <row r="141" spans="1:12" x14ac:dyDescent="0.5">
      <c r="A141" t="s">
        <v>374</v>
      </c>
      <c r="B141" t="str">
        <f>_xlfn.XLOOKUP(A141, 'sqft data'!A:A, 'sqft data'!C:C, "Not Found")</f>
        <v>Not Found</v>
      </c>
      <c r="C141">
        <f>_xlfn.XLOOKUP(A141, 'bedroom data'!A:A, 'bedroom data'!B:B, "Not Found")</f>
        <v>1</v>
      </c>
      <c r="D141">
        <f>_xlfn.XLOOKUP(A141, 'bathroom data'!A:A, 'bathroom data'!B:B, "Not Found")</f>
        <v>1</v>
      </c>
      <c r="E141" t="str">
        <f>_xlfn.XLOOKUP(A141, 'bedroom data'!A:A, 'bedroom data'!C:C, "Not Found")</f>
        <v>Capitol Hill</v>
      </c>
      <c r="F141" t="s">
        <v>20</v>
      </c>
      <c r="G141" t="s">
        <v>18</v>
      </c>
      <c r="H141" t="s">
        <v>101</v>
      </c>
      <c r="I141">
        <v>0</v>
      </c>
      <c r="J141" t="s">
        <v>22</v>
      </c>
      <c r="K141" t="s">
        <v>13</v>
      </c>
      <c r="L141" t="s">
        <v>13</v>
      </c>
    </row>
    <row r="142" spans="1:12" x14ac:dyDescent="0.5">
      <c r="A142" t="s">
        <v>374</v>
      </c>
      <c r="B142" t="str">
        <f>_xlfn.XLOOKUP(A142, 'sqft data'!A:A, 'sqft data'!C:C, "Not Found")</f>
        <v>Not Found</v>
      </c>
      <c r="C142">
        <f>_xlfn.XLOOKUP(A142, 'bedroom data'!A:A, 'bedroom data'!B:B, "Not Found")</f>
        <v>1</v>
      </c>
      <c r="D142">
        <f>_xlfn.XLOOKUP(A142, 'bathroom data'!A:A, 'bathroom data'!B:B, "Not Found")</f>
        <v>1</v>
      </c>
      <c r="E142" t="str">
        <f>_xlfn.XLOOKUP(A142, 'bedroom data'!A:A, 'bedroom data'!C:C, "Not Found")</f>
        <v>Capitol Hill</v>
      </c>
      <c r="F142" t="s">
        <v>20</v>
      </c>
      <c r="G142" t="s">
        <v>346</v>
      </c>
      <c r="H142" t="s">
        <v>386</v>
      </c>
      <c r="I142">
        <v>0</v>
      </c>
      <c r="J142" t="s">
        <v>367</v>
      </c>
      <c r="K142" t="s">
        <v>13</v>
      </c>
      <c r="L142" t="s">
        <v>13</v>
      </c>
    </row>
    <row r="143" spans="1:12" x14ac:dyDescent="0.5">
      <c r="A143" t="s">
        <v>374</v>
      </c>
      <c r="B143" t="str">
        <f>_xlfn.XLOOKUP(A143, 'sqft data'!A:A, 'sqft data'!C:C, "Not Found")</f>
        <v>Not Found</v>
      </c>
      <c r="C143">
        <f>_xlfn.XLOOKUP(A143, 'bedroom data'!A:A, 'bedroom data'!B:B, "Not Found")</f>
        <v>1</v>
      </c>
      <c r="D143">
        <f>_xlfn.XLOOKUP(A143, 'bathroom data'!A:A, 'bathroom data'!B:B, "Not Found")</f>
        <v>1</v>
      </c>
      <c r="E143" t="str">
        <f>_xlfn.XLOOKUP(A143, 'bedroom data'!A:A, 'bedroom data'!C:C, "Not Found")</f>
        <v>Capitol Hill</v>
      </c>
      <c r="F143" t="s">
        <v>20</v>
      </c>
      <c r="G143" t="s">
        <v>172</v>
      </c>
      <c r="H143" t="s">
        <v>296</v>
      </c>
      <c r="I143">
        <v>0</v>
      </c>
      <c r="J143" t="s">
        <v>55</v>
      </c>
      <c r="K143" t="s">
        <v>13</v>
      </c>
      <c r="L143" t="s">
        <v>13</v>
      </c>
    </row>
    <row r="144" spans="1:12" x14ac:dyDescent="0.5">
      <c r="A144" t="s">
        <v>387</v>
      </c>
      <c r="B144" t="str">
        <f>_xlfn.XLOOKUP(A144, 'sqft data'!A:A, 'sqft data'!C:C, "Not Found")</f>
        <v>Not Found</v>
      </c>
      <c r="C144">
        <f>_xlfn.XLOOKUP(A144, 'bedroom data'!A:A, 'bedroom data'!B:B, "Not Found")</f>
        <v>1</v>
      </c>
      <c r="D144">
        <f>_xlfn.XLOOKUP(A144, 'bathroom data'!A:A, 'bathroom data'!B:B, "Not Found")</f>
        <v>1</v>
      </c>
      <c r="E144" t="str">
        <f>_xlfn.XLOOKUP(A144, 'bedroom data'!A:A, 'bedroom data'!C:C, "Not Found")</f>
        <v>Capitol Hill</v>
      </c>
      <c r="F144" t="s">
        <v>20</v>
      </c>
      <c r="G144" t="s">
        <v>285</v>
      </c>
      <c r="H144" t="s">
        <v>292</v>
      </c>
      <c r="I144">
        <v>0</v>
      </c>
      <c r="J144" t="s">
        <v>388</v>
      </c>
      <c r="K144" t="s">
        <v>13</v>
      </c>
      <c r="L144" t="s">
        <v>13</v>
      </c>
    </row>
    <row r="145" spans="1:12" x14ac:dyDescent="0.5">
      <c r="A145" t="s">
        <v>389</v>
      </c>
      <c r="B145" t="str">
        <f>_xlfn.XLOOKUP(A145, 'sqft data'!A:A, 'sqft data'!C:C, "Not Found")</f>
        <v>Not Found</v>
      </c>
      <c r="C145">
        <f>_xlfn.XLOOKUP(A145, 'bedroom data'!A:A, 'bedroom data'!B:B, "Not Found")</f>
        <v>1</v>
      </c>
      <c r="D145">
        <f>_xlfn.XLOOKUP(A145, 'bathroom data'!A:A, 'bathroom data'!B:B, "Not Found")</f>
        <v>1</v>
      </c>
      <c r="E145" t="str">
        <f>_xlfn.XLOOKUP(A145, 'bedroom data'!A:A, 'bedroom data'!C:C, "Not Found")</f>
        <v>Capitol Hill</v>
      </c>
      <c r="F145" t="s">
        <v>20</v>
      </c>
      <c r="G145" t="s">
        <v>23</v>
      </c>
      <c r="H145" t="s">
        <v>282</v>
      </c>
      <c r="I145">
        <v>0</v>
      </c>
      <c r="J145" t="s">
        <v>390</v>
      </c>
      <c r="K145" t="s">
        <v>13</v>
      </c>
      <c r="L145" t="s">
        <v>13</v>
      </c>
    </row>
    <row r="146" spans="1:12" x14ac:dyDescent="0.5">
      <c r="A146" t="s">
        <v>389</v>
      </c>
      <c r="B146" t="str">
        <f>_xlfn.XLOOKUP(A146, 'sqft data'!A:A, 'sqft data'!C:C, "Not Found")</f>
        <v>Not Found</v>
      </c>
      <c r="C146">
        <f>_xlfn.XLOOKUP(A146, 'bedroom data'!A:A, 'bedroom data'!B:B, "Not Found")</f>
        <v>1</v>
      </c>
      <c r="D146">
        <f>_xlfn.XLOOKUP(A146, 'bathroom data'!A:A, 'bathroom data'!B:B, "Not Found")</f>
        <v>1</v>
      </c>
      <c r="E146" t="str">
        <f>_xlfn.XLOOKUP(A146, 'bedroom data'!A:A, 'bedroom data'!C:C, "Not Found")</f>
        <v>Capitol Hill</v>
      </c>
      <c r="F146" t="s">
        <v>20</v>
      </c>
      <c r="G146" t="s">
        <v>16</v>
      </c>
      <c r="H146" t="s">
        <v>288</v>
      </c>
      <c r="I146">
        <v>0</v>
      </c>
      <c r="J146" t="s">
        <v>346</v>
      </c>
      <c r="K146" t="s">
        <v>13</v>
      </c>
      <c r="L146" t="s">
        <v>13</v>
      </c>
    </row>
    <row r="147" spans="1:12" x14ac:dyDescent="0.5">
      <c r="A147" t="s">
        <v>389</v>
      </c>
      <c r="B147" t="str">
        <f>_xlfn.XLOOKUP(A147, 'sqft data'!A:A, 'sqft data'!C:C, "Not Found")</f>
        <v>Not Found</v>
      </c>
      <c r="C147">
        <f>_xlfn.XLOOKUP(A147, 'bedroom data'!A:A, 'bedroom data'!B:B, "Not Found")</f>
        <v>1</v>
      </c>
      <c r="D147">
        <f>_xlfn.XLOOKUP(A147, 'bathroom data'!A:A, 'bathroom data'!B:B, "Not Found")</f>
        <v>1</v>
      </c>
      <c r="E147" t="str">
        <f>_xlfn.XLOOKUP(A147, 'bedroom data'!A:A, 'bedroom data'!C:C, "Not Found")</f>
        <v>Capitol Hill</v>
      </c>
      <c r="F147" t="s">
        <v>20</v>
      </c>
      <c r="G147" t="s">
        <v>25</v>
      </c>
      <c r="H147" t="s">
        <v>12</v>
      </c>
      <c r="I147">
        <v>0</v>
      </c>
      <c r="J147" t="s">
        <v>391</v>
      </c>
      <c r="K147" t="s">
        <v>13</v>
      </c>
      <c r="L147" t="s">
        <v>13</v>
      </c>
    </row>
    <row r="148" spans="1:12" x14ac:dyDescent="0.5">
      <c r="A148" t="s">
        <v>389</v>
      </c>
      <c r="B148" t="str">
        <f>_xlfn.XLOOKUP(A148, 'sqft data'!A:A, 'sqft data'!C:C, "Not Found")</f>
        <v>Not Found</v>
      </c>
      <c r="C148">
        <f>_xlfn.XLOOKUP(A148, 'bedroom data'!A:A, 'bedroom data'!B:B, "Not Found")</f>
        <v>1</v>
      </c>
      <c r="D148">
        <f>_xlfn.XLOOKUP(A148, 'bathroom data'!A:A, 'bathroom data'!B:B, "Not Found")</f>
        <v>1</v>
      </c>
      <c r="E148" t="str">
        <f>_xlfn.XLOOKUP(A148, 'bedroom data'!A:A, 'bedroom data'!C:C, "Not Found")</f>
        <v>Capitol Hill</v>
      </c>
      <c r="F148" t="s">
        <v>20</v>
      </c>
      <c r="G148" t="s">
        <v>194</v>
      </c>
      <c r="H148" t="s">
        <v>192</v>
      </c>
      <c r="I148">
        <v>0</v>
      </c>
      <c r="J148" t="s">
        <v>218</v>
      </c>
      <c r="K148" t="s">
        <v>13</v>
      </c>
      <c r="L148" t="s">
        <v>13</v>
      </c>
    </row>
    <row r="149" spans="1:12" x14ac:dyDescent="0.5">
      <c r="A149" t="s">
        <v>392</v>
      </c>
      <c r="B149" t="str">
        <f>_xlfn.XLOOKUP(A149, 'sqft data'!A:A, 'sqft data'!C:C, "Not Found")</f>
        <v>Not Found</v>
      </c>
      <c r="C149">
        <f>_xlfn.XLOOKUP(A149, 'bedroom data'!A:A, 'bedroom data'!B:B, "Not Found")</f>
        <v>1</v>
      </c>
      <c r="D149">
        <f>_xlfn.XLOOKUP(A149, 'bathroom data'!A:A, 'bathroom data'!B:B, "Not Found")</f>
        <v>1</v>
      </c>
      <c r="E149" t="str">
        <f>_xlfn.XLOOKUP(A149, 'bedroom data'!A:A, 'bedroom data'!C:C, "Not Found")</f>
        <v>Capitol Hill</v>
      </c>
      <c r="F149" t="s">
        <v>20</v>
      </c>
      <c r="G149" t="s">
        <v>285</v>
      </c>
      <c r="H149" t="s">
        <v>292</v>
      </c>
      <c r="I149">
        <v>0</v>
      </c>
      <c r="J149" t="s">
        <v>393</v>
      </c>
      <c r="K149" t="s">
        <v>13</v>
      </c>
      <c r="L149" t="s">
        <v>13</v>
      </c>
    </row>
    <row r="150" spans="1:12" x14ac:dyDescent="0.5">
      <c r="A150" t="s">
        <v>394</v>
      </c>
      <c r="B150" t="str">
        <f>_xlfn.XLOOKUP(A150, 'sqft data'!A:A, 'sqft data'!C:C, "Not Found")</f>
        <v>Not Found</v>
      </c>
      <c r="C150">
        <f>_xlfn.XLOOKUP(A150, 'bedroom data'!A:A, 'bedroom data'!B:B, "Not Found")</f>
        <v>1</v>
      </c>
      <c r="D150">
        <f>_xlfn.XLOOKUP(A150, 'bathroom data'!A:A, 'bathroom data'!B:B, "Not Found")</f>
        <v>1</v>
      </c>
      <c r="E150" t="str">
        <f>_xlfn.XLOOKUP(A150, 'bedroom data'!A:A, 'bedroom data'!C:C, "Not Found")</f>
        <v>Capitol Hill</v>
      </c>
      <c r="F150" t="s">
        <v>20</v>
      </c>
      <c r="G150" t="s">
        <v>395</v>
      </c>
      <c r="H150" t="s">
        <v>300</v>
      </c>
      <c r="I150">
        <v>0</v>
      </c>
      <c r="J150" t="s">
        <v>360</v>
      </c>
      <c r="K150" t="s">
        <v>13</v>
      </c>
      <c r="L150" t="s">
        <v>13</v>
      </c>
    </row>
    <row r="151" spans="1:12" x14ac:dyDescent="0.5">
      <c r="A151" t="s">
        <v>394</v>
      </c>
      <c r="B151" t="str">
        <f>_xlfn.XLOOKUP(A151, 'sqft data'!A:A, 'sqft data'!C:C, "Not Found")</f>
        <v>Not Found</v>
      </c>
      <c r="C151">
        <f>_xlfn.XLOOKUP(A151, 'bedroom data'!A:A, 'bedroom data'!B:B, "Not Found")</f>
        <v>1</v>
      </c>
      <c r="D151">
        <f>_xlfn.XLOOKUP(A151, 'bathroom data'!A:A, 'bathroom data'!B:B, "Not Found")</f>
        <v>1</v>
      </c>
      <c r="E151" t="str">
        <f>_xlfn.XLOOKUP(A151, 'bedroom data'!A:A, 'bedroom data'!C:C, "Not Found")</f>
        <v>Capitol Hill</v>
      </c>
      <c r="F151" t="s">
        <v>20</v>
      </c>
      <c r="G151" t="s">
        <v>380</v>
      </c>
      <c r="H151" t="s">
        <v>133</v>
      </c>
      <c r="I151">
        <v>0</v>
      </c>
      <c r="J151" t="s">
        <v>396</v>
      </c>
      <c r="K151" t="s">
        <v>13</v>
      </c>
      <c r="L151" t="s">
        <v>13</v>
      </c>
    </row>
    <row r="152" spans="1:12" x14ac:dyDescent="0.5">
      <c r="A152" t="s">
        <v>394</v>
      </c>
      <c r="B152" t="str">
        <f>_xlfn.XLOOKUP(A152, 'sqft data'!A:A, 'sqft data'!C:C, "Not Found")</f>
        <v>Not Found</v>
      </c>
      <c r="C152">
        <f>_xlfn.XLOOKUP(A152, 'bedroom data'!A:A, 'bedroom data'!B:B, "Not Found")</f>
        <v>1</v>
      </c>
      <c r="D152">
        <f>_xlfn.XLOOKUP(A152, 'bathroom data'!A:A, 'bathroom data'!B:B, "Not Found")</f>
        <v>1</v>
      </c>
      <c r="E152" t="str">
        <f>_xlfn.XLOOKUP(A152, 'bedroom data'!A:A, 'bedroom data'!C:C, "Not Found")</f>
        <v>Capitol Hill</v>
      </c>
      <c r="F152" t="s">
        <v>20</v>
      </c>
      <c r="G152" t="s">
        <v>227</v>
      </c>
      <c r="H152" t="s">
        <v>397</v>
      </c>
      <c r="I152">
        <v>0</v>
      </c>
      <c r="J152" t="s">
        <v>378</v>
      </c>
      <c r="K152" t="s">
        <v>13</v>
      </c>
      <c r="L152" t="s">
        <v>13</v>
      </c>
    </row>
    <row r="153" spans="1:12" x14ac:dyDescent="0.5">
      <c r="A153" t="s">
        <v>394</v>
      </c>
      <c r="B153" t="str">
        <f>_xlfn.XLOOKUP(A153, 'sqft data'!A:A, 'sqft data'!C:C, "Not Found")</f>
        <v>Not Found</v>
      </c>
      <c r="C153">
        <f>_xlfn.XLOOKUP(A153, 'bedroom data'!A:A, 'bedroom data'!B:B, "Not Found")</f>
        <v>1</v>
      </c>
      <c r="D153">
        <f>_xlfn.XLOOKUP(A153, 'bathroom data'!A:A, 'bathroom data'!B:B, "Not Found")</f>
        <v>1</v>
      </c>
      <c r="E153" t="str">
        <f>_xlfn.XLOOKUP(A153, 'bedroom data'!A:A, 'bedroom data'!C:C, "Not Found")</f>
        <v>Capitol Hill</v>
      </c>
      <c r="F153" t="s">
        <v>20</v>
      </c>
      <c r="G153" t="s">
        <v>113</v>
      </c>
      <c r="H153" t="s">
        <v>224</v>
      </c>
      <c r="I153">
        <v>0</v>
      </c>
      <c r="J153" t="s">
        <v>379</v>
      </c>
      <c r="K153" t="s">
        <v>13</v>
      </c>
      <c r="L153" t="s">
        <v>13</v>
      </c>
    </row>
    <row r="154" spans="1:12" x14ac:dyDescent="0.5">
      <c r="A154" t="s">
        <v>398</v>
      </c>
      <c r="B154" t="str">
        <f>_xlfn.XLOOKUP(A154, 'sqft data'!A:A, 'sqft data'!C:C, "Not Found")</f>
        <v>Not Found</v>
      </c>
      <c r="C154">
        <f>_xlfn.XLOOKUP(A154, 'bedroom data'!A:A, 'bedroom data'!B:B, "Not Found")</f>
        <v>1</v>
      </c>
      <c r="D154">
        <f>_xlfn.XLOOKUP(A154, 'bathroom data'!A:A, 'bathroom data'!B:B, "Not Found")</f>
        <v>1</v>
      </c>
      <c r="E154" t="str">
        <f>_xlfn.XLOOKUP(A154, 'bedroom data'!A:A, 'bedroom data'!C:C, "Not Found")</f>
        <v>Capitol Hill</v>
      </c>
      <c r="F154" t="s">
        <v>20</v>
      </c>
      <c r="G154" t="s">
        <v>375</v>
      </c>
      <c r="H154" t="s">
        <v>376</v>
      </c>
      <c r="I154">
        <v>0</v>
      </c>
      <c r="J154" t="s">
        <v>377</v>
      </c>
      <c r="K154" t="s">
        <v>13</v>
      </c>
      <c r="L154" t="s">
        <v>13</v>
      </c>
    </row>
    <row r="155" spans="1:12" x14ac:dyDescent="0.5">
      <c r="A155" t="s">
        <v>398</v>
      </c>
      <c r="B155" t="str">
        <f>_xlfn.XLOOKUP(A155, 'sqft data'!A:A, 'sqft data'!C:C, "Not Found")</f>
        <v>Not Found</v>
      </c>
      <c r="C155">
        <f>_xlfn.XLOOKUP(A155, 'bedroom data'!A:A, 'bedroom data'!B:B, "Not Found")</f>
        <v>1</v>
      </c>
      <c r="D155">
        <f>_xlfn.XLOOKUP(A155, 'bathroom data'!A:A, 'bathroom data'!B:B, "Not Found")</f>
        <v>1</v>
      </c>
      <c r="E155" t="str">
        <f>_xlfn.XLOOKUP(A155, 'bedroom data'!A:A, 'bedroom data'!C:C, "Not Found")</f>
        <v>Capitol Hill</v>
      </c>
      <c r="F155" t="s">
        <v>20</v>
      </c>
      <c r="G155" t="s">
        <v>391</v>
      </c>
      <c r="H155" t="s">
        <v>399</v>
      </c>
      <c r="I155">
        <v>0</v>
      </c>
      <c r="J155" t="s">
        <v>400</v>
      </c>
      <c r="K155" t="s">
        <v>13</v>
      </c>
      <c r="L155" t="s">
        <v>13</v>
      </c>
    </row>
    <row r="156" spans="1:12" x14ac:dyDescent="0.5">
      <c r="A156" t="s">
        <v>398</v>
      </c>
      <c r="B156" t="str">
        <f>_xlfn.XLOOKUP(A156, 'sqft data'!A:A, 'sqft data'!C:C, "Not Found")</f>
        <v>Not Found</v>
      </c>
      <c r="C156">
        <f>_xlfn.XLOOKUP(A156, 'bedroom data'!A:A, 'bedroom data'!B:B, "Not Found")</f>
        <v>1</v>
      </c>
      <c r="D156">
        <f>_xlfn.XLOOKUP(A156, 'bathroom data'!A:A, 'bathroom data'!B:B, "Not Found")</f>
        <v>1</v>
      </c>
      <c r="E156" t="str">
        <f>_xlfn.XLOOKUP(A156, 'bedroom data'!A:A, 'bedroom data'!C:C, "Not Found")</f>
        <v>Capitol Hill</v>
      </c>
      <c r="F156" t="s">
        <v>20</v>
      </c>
      <c r="G156" t="s">
        <v>224</v>
      </c>
      <c r="H156" t="s">
        <v>291</v>
      </c>
      <c r="I156">
        <v>0</v>
      </c>
      <c r="J156" t="s">
        <v>113</v>
      </c>
      <c r="K156" t="s">
        <v>13</v>
      </c>
      <c r="L156" t="s">
        <v>13</v>
      </c>
    </row>
    <row r="157" spans="1:12" x14ac:dyDescent="0.5">
      <c r="A157" t="s">
        <v>398</v>
      </c>
      <c r="B157" t="str">
        <f>_xlfn.XLOOKUP(A157, 'sqft data'!A:A, 'sqft data'!C:C, "Not Found")</f>
        <v>Not Found</v>
      </c>
      <c r="C157">
        <f>_xlfn.XLOOKUP(A157, 'bedroom data'!A:A, 'bedroom data'!B:B, "Not Found")</f>
        <v>1</v>
      </c>
      <c r="D157">
        <f>_xlfn.XLOOKUP(A157, 'bathroom data'!A:A, 'bathroom data'!B:B, "Not Found")</f>
        <v>1</v>
      </c>
      <c r="E157" t="str">
        <f>_xlfn.XLOOKUP(A157, 'bedroom data'!A:A, 'bedroom data'!C:C, "Not Found")</f>
        <v>Capitol Hill</v>
      </c>
      <c r="F157" t="s">
        <v>20</v>
      </c>
      <c r="G157" t="s">
        <v>298</v>
      </c>
      <c r="H157" t="s">
        <v>22</v>
      </c>
      <c r="I157">
        <v>0</v>
      </c>
      <c r="J157" t="s">
        <v>113</v>
      </c>
      <c r="K157" t="s">
        <v>13</v>
      </c>
      <c r="L157" t="s">
        <v>13</v>
      </c>
    </row>
    <row r="158" spans="1:12" x14ac:dyDescent="0.5">
      <c r="A158" t="s">
        <v>398</v>
      </c>
      <c r="B158" t="str">
        <f>_xlfn.XLOOKUP(A158, 'sqft data'!A:A, 'sqft data'!C:C, "Not Found")</f>
        <v>Not Found</v>
      </c>
      <c r="C158">
        <f>_xlfn.XLOOKUP(A158, 'bedroom data'!A:A, 'bedroom data'!B:B, "Not Found")</f>
        <v>1</v>
      </c>
      <c r="D158">
        <f>_xlfn.XLOOKUP(A158, 'bathroom data'!A:A, 'bathroom data'!B:B, "Not Found")</f>
        <v>1</v>
      </c>
      <c r="E158" t="str">
        <f>_xlfn.XLOOKUP(A158, 'bedroom data'!A:A, 'bedroom data'!C:C, "Not Found")</f>
        <v>Capitol Hill</v>
      </c>
      <c r="F158" t="s">
        <v>20</v>
      </c>
      <c r="G158" t="s">
        <v>192</v>
      </c>
      <c r="H158" t="s">
        <v>286</v>
      </c>
      <c r="I158">
        <v>0</v>
      </c>
      <c r="J158" t="s">
        <v>345</v>
      </c>
      <c r="K158" t="s">
        <v>13</v>
      </c>
      <c r="L158" t="s">
        <v>13</v>
      </c>
    </row>
    <row r="159" spans="1:12" x14ac:dyDescent="0.5">
      <c r="A159" t="s">
        <v>398</v>
      </c>
      <c r="B159" t="str">
        <f>_xlfn.XLOOKUP(A159, 'sqft data'!A:A, 'sqft data'!C:C, "Not Found")</f>
        <v>Not Found</v>
      </c>
      <c r="C159">
        <f>_xlfn.XLOOKUP(A159, 'bedroom data'!A:A, 'bedroom data'!B:B, "Not Found")</f>
        <v>1</v>
      </c>
      <c r="D159">
        <f>_xlfn.XLOOKUP(A159, 'bathroom data'!A:A, 'bathroom data'!B:B, "Not Found")</f>
        <v>1</v>
      </c>
      <c r="E159" t="str">
        <f>_xlfn.XLOOKUP(A159, 'bedroom data'!A:A, 'bedroom data'!C:C, "Not Found")</f>
        <v>Capitol Hill</v>
      </c>
      <c r="F159" t="s">
        <v>20</v>
      </c>
      <c r="G159" t="s">
        <v>16</v>
      </c>
      <c r="H159" t="s">
        <v>293</v>
      </c>
      <c r="I159">
        <v>0</v>
      </c>
      <c r="J159" t="s">
        <v>22</v>
      </c>
      <c r="K159" t="s">
        <v>13</v>
      </c>
      <c r="L159" t="s">
        <v>13</v>
      </c>
    </row>
    <row r="160" spans="1:12" x14ac:dyDescent="0.5">
      <c r="A160" t="s">
        <v>398</v>
      </c>
      <c r="B160" t="str">
        <f>_xlfn.XLOOKUP(A160, 'sqft data'!A:A, 'sqft data'!C:C, "Not Found")</f>
        <v>Not Found</v>
      </c>
      <c r="C160">
        <f>_xlfn.XLOOKUP(A160, 'bedroom data'!A:A, 'bedroom data'!B:B, "Not Found")</f>
        <v>1</v>
      </c>
      <c r="D160">
        <f>_xlfn.XLOOKUP(A160, 'bathroom data'!A:A, 'bathroom data'!B:B, "Not Found")</f>
        <v>1</v>
      </c>
      <c r="E160" t="str">
        <f>_xlfn.XLOOKUP(A160, 'bedroom data'!A:A, 'bedroom data'!C:C, "Not Found")</f>
        <v>Capitol Hill</v>
      </c>
      <c r="F160" t="s">
        <v>20</v>
      </c>
      <c r="G160" t="s">
        <v>346</v>
      </c>
      <c r="H160" t="s">
        <v>367</v>
      </c>
      <c r="I160">
        <v>0</v>
      </c>
      <c r="J160" t="s">
        <v>367</v>
      </c>
      <c r="K160" t="s">
        <v>13</v>
      </c>
      <c r="L160" t="s">
        <v>13</v>
      </c>
    </row>
    <row r="161" spans="1:12" x14ac:dyDescent="0.5">
      <c r="A161" t="s">
        <v>398</v>
      </c>
      <c r="B161" t="str">
        <f>_xlfn.XLOOKUP(A161, 'sqft data'!A:A, 'sqft data'!C:C, "Not Found")</f>
        <v>Not Found</v>
      </c>
      <c r="C161">
        <f>_xlfn.XLOOKUP(A161, 'bedroom data'!A:A, 'bedroom data'!B:B, "Not Found")</f>
        <v>1</v>
      </c>
      <c r="D161">
        <f>_xlfn.XLOOKUP(A161, 'bathroom data'!A:A, 'bathroom data'!B:B, "Not Found")</f>
        <v>1</v>
      </c>
      <c r="E161" t="str">
        <f>_xlfn.XLOOKUP(A161, 'bedroom data'!A:A, 'bedroom data'!C:C, "Not Found")</f>
        <v>Capitol Hill</v>
      </c>
      <c r="F161" t="s">
        <v>20</v>
      </c>
      <c r="G161" t="s">
        <v>385</v>
      </c>
      <c r="H161" t="s">
        <v>294</v>
      </c>
      <c r="I161">
        <v>0</v>
      </c>
      <c r="J161" t="s">
        <v>367</v>
      </c>
      <c r="K161" t="s">
        <v>13</v>
      </c>
      <c r="L161" t="s">
        <v>13</v>
      </c>
    </row>
    <row r="162" spans="1:12" x14ac:dyDescent="0.5">
      <c r="A162" t="s">
        <v>398</v>
      </c>
      <c r="B162" t="str">
        <f>_xlfn.XLOOKUP(A162, 'sqft data'!A:A, 'sqft data'!C:C, "Not Found")</f>
        <v>Not Found</v>
      </c>
      <c r="C162">
        <f>_xlfn.XLOOKUP(A162, 'bedroom data'!A:A, 'bedroom data'!B:B, "Not Found")</f>
        <v>1</v>
      </c>
      <c r="D162">
        <f>_xlfn.XLOOKUP(A162, 'bathroom data'!A:A, 'bathroom data'!B:B, "Not Found")</f>
        <v>1</v>
      </c>
      <c r="E162" t="str">
        <f>_xlfn.XLOOKUP(A162, 'bedroom data'!A:A, 'bedroom data'!C:C, "Not Found")</f>
        <v>Capitol Hill</v>
      </c>
      <c r="F162" t="s">
        <v>20</v>
      </c>
      <c r="G162" t="s">
        <v>288</v>
      </c>
      <c r="H162" t="s">
        <v>401</v>
      </c>
      <c r="I162">
        <v>0</v>
      </c>
      <c r="J162" t="s">
        <v>288</v>
      </c>
      <c r="K162" t="s">
        <v>13</v>
      </c>
      <c r="L162" t="s">
        <v>13</v>
      </c>
    </row>
    <row r="163" spans="1:12" x14ac:dyDescent="0.5">
      <c r="A163" t="s">
        <v>398</v>
      </c>
      <c r="B163" t="str">
        <f>_xlfn.XLOOKUP(A163, 'sqft data'!A:A, 'sqft data'!C:C, "Not Found")</f>
        <v>Not Found</v>
      </c>
      <c r="C163">
        <f>_xlfn.XLOOKUP(A163, 'bedroom data'!A:A, 'bedroom data'!B:B, "Not Found")</f>
        <v>1</v>
      </c>
      <c r="D163">
        <f>_xlfn.XLOOKUP(A163, 'bathroom data'!A:A, 'bathroom data'!B:B, "Not Found")</f>
        <v>1</v>
      </c>
      <c r="E163" t="str">
        <f>_xlfn.XLOOKUP(A163, 'bedroom data'!A:A, 'bedroom data'!C:C, "Not Found")</f>
        <v>Capitol Hill</v>
      </c>
      <c r="F163" t="s">
        <v>20</v>
      </c>
      <c r="G163" t="s">
        <v>402</v>
      </c>
      <c r="H163" t="s">
        <v>403</v>
      </c>
      <c r="I163">
        <v>0</v>
      </c>
      <c r="J163" t="s">
        <v>401</v>
      </c>
      <c r="K163" t="s">
        <v>13</v>
      </c>
      <c r="L163" t="s">
        <v>13</v>
      </c>
    </row>
    <row r="164" spans="1:12" x14ac:dyDescent="0.5">
      <c r="A164" t="s">
        <v>404</v>
      </c>
      <c r="B164" t="str">
        <f>_xlfn.XLOOKUP(A164, 'sqft data'!A:A, 'sqft data'!C:C, "Not Found")</f>
        <v>Not Found</v>
      </c>
      <c r="C164">
        <f>_xlfn.XLOOKUP(A164, 'bedroom data'!A:A, 'bedroom data'!B:B, "Not Found")</f>
        <v>1</v>
      </c>
      <c r="D164">
        <f>_xlfn.XLOOKUP(A164, 'bathroom data'!A:A, 'bathroom data'!B:B, "Not Found")</f>
        <v>1</v>
      </c>
      <c r="E164" t="str">
        <f>_xlfn.XLOOKUP(A164, 'bedroom data'!A:A, 'bedroom data'!C:C, "Not Found")</f>
        <v>Capitol Hill</v>
      </c>
      <c r="F164" t="s">
        <v>20</v>
      </c>
      <c r="G164" t="s">
        <v>23</v>
      </c>
      <c r="H164" t="s">
        <v>282</v>
      </c>
      <c r="I164">
        <v>0</v>
      </c>
      <c r="J164" t="s">
        <v>344</v>
      </c>
      <c r="K164" t="s">
        <v>13</v>
      </c>
      <c r="L164" t="s">
        <v>13</v>
      </c>
    </row>
    <row r="165" spans="1:12" x14ac:dyDescent="0.5">
      <c r="A165" t="s">
        <v>404</v>
      </c>
      <c r="B165" t="str">
        <f>_xlfn.XLOOKUP(A165, 'sqft data'!A:A, 'sqft data'!C:C, "Not Found")</f>
        <v>Not Found</v>
      </c>
      <c r="C165">
        <f>_xlfn.XLOOKUP(A165, 'bedroom data'!A:A, 'bedroom data'!B:B, "Not Found")</f>
        <v>1</v>
      </c>
      <c r="D165">
        <f>_xlfn.XLOOKUP(A165, 'bathroom data'!A:A, 'bathroom data'!B:B, "Not Found")</f>
        <v>1</v>
      </c>
      <c r="E165" t="str">
        <f>_xlfn.XLOOKUP(A165, 'bedroom data'!A:A, 'bedroom data'!C:C, "Not Found")</f>
        <v>Capitol Hill</v>
      </c>
      <c r="F165" t="s">
        <v>20</v>
      </c>
      <c r="G165" t="s">
        <v>170</v>
      </c>
      <c r="H165" t="s">
        <v>323</v>
      </c>
      <c r="I165">
        <v>0</v>
      </c>
      <c r="J165" t="s">
        <v>391</v>
      </c>
      <c r="K165" t="s">
        <v>13</v>
      </c>
      <c r="L165" t="s">
        <v>13</v>
      </c>
    </row>
    <row r="166" spans="1:12" x14ac:dyDescent="0.5">
      <c r="A166" t="s">
        <v>404</v>
      </c>
      <c r="B166" t="str">
        <f>_xlfn.XLOOKUP(A166, 'sqft data'!A:A, 'sqft data'!C:C, "Not Found")</f>
        <v>Not Found</v>
      </c>
      <c r="C166">
        <f>_xlfn.XLOOKUP(A166, 'bedroom data'!A:A, 'bedroom data'!B:B, "Not Found")</f>
        <v>1</v>
      </c>
      <c r="D166">
        <f>_xlfn.XLOOKUP(A166, 'bathroom data'!A:A, 'bathroom data'!B:B, "Not Found")</f>
        <v>1</v>
      </c>
      <c r="E166" t="str">
        <f>_xlfn.XLOOKUP(A166, 'bedroom data'!A:A, 'bedroom data'!C:C, "Not Found")</f>
        <v>Capitol Hill</v>
      </c>
      <c r="F166" t="s">
        <v>20</v>
      </c>
      <c r="G166" t="s">
        <v>227</v>
      </c>
      <c r="H166" t="s">
        <v>286</v>
      </c>
      <c r="I166">
        <v>0</v>
      </c>
      <c r="J166" t="s">
        <v>24</v>
      </c>
      <c r="K166" t="s">
        <v>13</v>
      </c>
      <c r="L166" t="s">
        <v>13</v>
      </c>
    </row>
    <row r="167" spans="1:12" x14ac:dyDescent="0.5">
      <c r="A167" t="s">
        <v>405</v>
      </c>
      <c r="B167" t="str">
        <f>_xlfn.XLOOKUP(A167, 'sqft data'!A:A, 'sqft data'!C:C, "Not Found")</f>
        <v>Not Found</v>
      </c>
      <c r="C167">
        <f>_xlfn.XLOOKUP(A167, 'bedroom data'!A:A, 'bedroom data'!B:B, "Not Found")</f>
        <v>1</v>
      </c>
      <c r="D167">
        <f>_xlfn.XLOOKUP(A167, 'bathroom data'!A:A, 'bathroom data'!B:B, "Not Found")</f>
        <v>1</v>
      </c>
      <c r="E167" t="str">
        <f>_xlfn.XLOOKUP(A167, 'bedroom data'!A:A, 'bedroom data'!C:C, "Not Found")</f>
        <v>Capitol Hill</v>
      </c>
      <c r="F167" t="s">
        <v>20</v>
      </c>
      <c r="G167" t="s">
        <v>110</v>
      </c>
      <c r="H167" t="s">
        <v>189</v>
      </c>
      <c r="I167">
        <v>0</v>
      </c>
      <c r="J167" t="s">
        <v>406</v>
      </c>
      <c r="K167" t="s">
        <v>13</v>
      </c>
      <c r="L167" t="s">
        <v>13</v>
      </c>
    </row>
    <row r="168" spans="1:12" x14ac:dyDescent="0.5">
      <c r="A168" t="s">
        <v>405</v>
      </c>
      <c r="B168" t="str">
        <f>_xlfn.XLOOKUP(A168, 'sqft data'!A:A, 'sqft data'!C:C, "Not Found")</f>
        <v>Not Found</v>
      </c>
      <c r="C168">
        <f>_xlfn.XLOOKUP(A168, 'bedroom data'!A:A, 'bedroom data'!B:B, "Not Found")</f>
        <v>1</v>
      </c>
      <c r="D168">
        <f>_xlfn.XLOOKUP(A168, 'bathroom data'!A:A, 'bathroom data'!B:B, "Not Found")</f>
        <v>1</v>
      </c>
      <c r="E168" t="str">
        <f>_xlfn.XLOOKUP(A168, 'bedroom data'!A:A, 'bedroom data'!C:C, "Not Found")</f>
        <v>Capitol Hill</v>
      </c>
      <c r="F168" t="s">
        <v>20</v>
      </c>
      <c r="G168" t="s">
        <v>284</v>
      </c>
      <c r="H168" t="s">
        <v>73</v>
      </c>
      <c r="I168">
        <v>0</v>
      </c>
      <c r="J168" t="s">
        <v>283</v>
      </c>
      <c r="K168" t="s">
        <v>13</v>
      </c>
      <c r="L168" t="s">
        <v>13</v>
      </c>
    </row>
    <row r="169" spans="1:12" x14ac:dyDescent="0.5">
      <c r="A169" t="s">
        <v>405</v>
      </c>
      <c r="B169" t="str">
        <f>_xlfn.XLOOKUP(A169, 'sqft data'!A:A, 'sqft data'!C:C, "Not Found")</f>
        <v>Not Found</v>
      </c>
      <c r="C169">
        <f>_xlfn.XLOOKUP(A169, 'bedroom data'!A:A, 'bedroom data'!B:B, "Not Found")</f>
        <v>1</v>
      </c>
      <c r="D169">
        <f>_xlfn.XLOOKUP(A169, 'bathroom data'!A:A, 'bathroom data'!B:B, "Not Found")</f>
        <v>1</v>
      </c>
      <c r="E169" t="str">
        <f>_xlfn.XLOOKUP(A169, 'bedroom data'!A:A, 'bedroom data'!C:C, "Not Found")</f>
        <v>Capitol Hill</v>
      </c>
      <c r="F169" t="s">
        <v>20</v>
      </c>
      <c r="G169" t="s">
        <v>402</v>
      </c>
      <c r="H169" t="s">
        <v>159</v>
      </c>
      <c r="I169">
        <v>0</v>
      </c>
      <c r="J169" t="s">
        <v>407</v>
      </c>
      <c r="K169" t="s">
        <v>13</v>
      </c>
      <c r="L169" t="s">
        <v>13</v>
      </c>
    </row>
    <row r="170" spans="1:12" x14ac:dyDescent="0.5">
      <c r="A170" t="s">
        <v>405</v>
      </c>
      <c r="B170" t="str">
        <f>_xlfn.XLOOKUP(A170, 'sqft data'!A:A, 'sqft data'!C:C, "Not Found")</f>
        <v>Not Found</v>
      </c>
      <c r="C170">
        <f>_xlfn.XLOOKUP(A170, 'bedroom data'!A:A, 'bedroom data'!B:B, "Not Found")</f>
        <v>1</v>
      </c>
      <c r="D170">
        <f>_xlfn.XLOOKUP(A170, 'bathroom data'!A:A, 'bathroom data'!B:B, "Not Found")</f>
        <v>1</v>
      </c>
      <c r="E170" t="str">
        <f>_xlfn.XLOOKUP(A170, 'bedroom data'!A:A, 'bedroom data'!C:C, "Not Found")</f>
        <v>Capitol Hill</v>
      </c>
      <c r="F170" t="s">
        <v>20</v>
      </c>
      <c r="G170" t="s">
        <v>288</v>
      </c>
      <c r="H170" t="s">
        <v>190</v>
      </c>
      <c r="I170">
        <v>0</v>
      </c>
      <c r="J170" t="s">
        <v>408</v>
      </c>
      <c r="K170" t="s">
        <v>13</v>
      </c>
      <c r="L170" t="s">
        <v>13</v>
      </c>
    </row>
    <row r="171" spans="1:12" x14ac:dyDescent="0.5">
      <c r="A171" t="s">
        <v>409</v>
      </c>
      <c r="B171" t="str">
        <f>_xlfn.XLOOKUP(A171, 'sqft data'!A:A, 'sqft data'!C:C, "Not Found")</f>
        <v>Not Found</v>
      </c>
      <c r="C171">
        <f>_xlfn.XLOOKUP(A171, 'bedroom data'!A:A, 'bedroom data'!B:B, "Not Found")</f>
        <v>1</v>
      </c>
      <c r="D171">
        <f>_xlfn.XLOOKUP(A171, 'bathroom data'!A:A, 'bathroom data'!B:B, "Not Found")</f>
        <v>1</v>
      </c>
      <c r="E171" t="str">
        <f>_xlfn.XLOOKUP(A171, 'bedroom data'!A:A, 'bedroom data'!C:C, "Not Found")</f>
        <v>Capitol Hill</v>
      </c>
      <c r="F171" t="s">
        <v>20</v>
      </c>
      <c r="G171" t="s">
        <v>410</v>
      </c>
      <c r="H171" t="s">
        <v>293</v>
      </c>
      <c r="I171">
        <v>0</v>
      </c>
      <c r="J171" t="s">
        <v>164</v>
      </c>
      <c r="K171" t="s">
        <v>13</v>
      </c>
      <c r="L171" t="s">
        <v>13</v>
      </c>
    </row>
    <row r="172" spans="1:12" x14ac:dyDescent="0.5">
      <c r="A172" t="s">
        <v>409</v>
      </c>
      <c r="B172" t="str">
        <f>_xlfn.XLOOKUP(A172, 'sqft data'!A:A, 'sqft data'!C:C, "Not Found")</f>
        <v>Not Found</v>
      </c>
      <c r="C172">
        <f>_xlfn.XLOOKUP(A172, 'bedroom data'!A:A, 'bedroom data'!B:B, "Not Found")</f>
        <v>1</v>
      </c>
      <c r="D172">
        <f>_xlfn.XLOOKUP(A172, 'bathroom data'!A:A, 'bathroom data'!B:B, "Not Found")</f>
        <v>1</v>
      </c>
      <c r="E172" t="str">
        <f>_xlfn.XLOOKUP(A172, 'bedroom data'!A:A, 'bedroom data'!C:C, "Not Found")</f>
        <v>Capitol Hill</v>
      </c>
      <c r="F172" t="s">
        <v>20</v>
      </c>
      <c r="G172" t="s">
        <v>284</v>
      </c>
      <c r="H172" t="s">
        <v>101</v>
      </c>
      <c r="I172">
        <v>0</v>
      </c>
      <c r="J172" t="s">
        <v>407</v>
      </c>
      <c r="K172" t="s">
        <v>13</v>
      </c>
      <c r="L172" t="s">
        <v>13</v>
      </c>
    </row>
    <row r="173" spans="1:12" x14ac:dyDescent="0.5">
      <c r="A173" t="s">
        <v>411</v>
      </c>
      <c r="B173" t="str">
        <f>_xlfn.XLOOKUP(A173, 'sqft data'!A:A, 'sqft data'!C:C, "Not Found")</f>
        <v>Not Found</v>
      </c>
      <c r="C173" t="str">
        <f>_xlfn.XLOOKUP(A173, 'bedroom data'!A:A, 'bedroom data'!B:B, "Not Found")</f>
        <v>FivePlusBed</v>
      </c>
      <c r="D173">
        <f>_xlfn.XLOOKUP(A173, 'bathroom data'!A:A, 'bathroom data'!B:B, "Not Found")</f>
        <v>3.5</v>
      </c>
      <c r="E173" t="str">
        <f>_xlfn.XLOOKUP(A173, 'bedroom data'!A:A, 'bedroom data'!C:C, "Not Found")</f>
        <v>Palisades</v>
      </c>
      <c r="F173" t="s">
        <v>412</v>
      </c>
      <c r="G173" t="s">
        <v>413</v>
      </c>
      <c r="H173" t="s">
        <v>105</v>
      </c>
      <c r="I173">
        <v>240</v>
      </c>
      <c r="J173" t="s">
        <v>414</v>
      </c>
      <c r="K173" t="s">
        <v>13</v>
      </c>
      <c r="L173" t="s">
        <v>13</v>
      </c>
    </row>
    <row r="174" spans="1:12" x14ac:dyDescent="0.5">
      <c r="A174" t="s">
        <v>415</v>
      </c>
      <c r="B174">
        <f>_xlfn.XLOOKUP(A174, 'sqft data'!A:A, 'sqft data'!C:C, "Not Found")</f>
        <v>700</v>
      </c>
      <c r="C174">
        <f>_xlfn.XLOOKUP(A174, 'bedroom data'!A:A, 'bedroom data'!B:B, "Not Found")</f>
        <v>1</v>
      </c>
      <c r="D174">
        <f>_xlfn.XLOOKUP(A174, 'bathroom data'!A:A, 'bathroom data'!B:B, "Not Found")</f>
        <v>1</v>
      </c>
      <c r="E174" t="str">
        <f>_xlfn.XLOOKUP(A174, 'bedroom data'!A:A, 'bedroom data'!C:C, "Not Found")</f>
        <v>Foggy Bottom</v>
      </c>
      <c r="F174" t="s">
        <v>416</v>
      </c>
      <c r="G174" t="s">
        <v>417</v>
      </c>
      <c r="H174" t="s">
        <v>284</v>
      </c>
      <c r="I174">
        <v>110</v>
      </c>
      <c r="J174" t="s">
        <v>418</v>
      </c>
      <c r="K174" t="s">
        <v>13</v>
      </c>
      <c r="L174" t="s">
        <v>13</v>
      </c>
    </row>
    <row r="175" spans="1:12" x14ac:dyDescent="0.5">
      <c r="A175" t="s">
        <v>415</v>
      </c>
      <c r="B175">
        <f>_xlfn.XLOOKUP(A175, 'sqft data'!A:A, 'sqft data'!C:C, "Not Found")</f>
        <v>700</v>
      </c>
      <c r="C175">
        <f>_xlfn.XLOOKUP(A175, 'bedroom data'!A:A, 'bedroom data'!B:B, "Not Found")</f>
        <v>1</v>
      </c>
      <c r="D175">
        <f>_xlfn.XLOOKUP(A175, 'bathroom data'!A:A, 'bathroom data'!B:B, "Not Found")</f>
        <v>1</v>
      </c>
      <c r="E175" t="str">
        <f>_xlfn.XLOOKUP(A175, 'bedroom data'!A:A, 'bedroom data'!C:C, "Not Found")</f>
        <v>Foggy Bottom</v>
      </c>
      <c r="F175" t="s">
        <v>416</v>
      </c>
      <c r="G175" t="s">
        <v>419</v>
      </c>
      <c r="H175" t="s">
        <v>420</v>
      </c>
      <c r="I175">
        <v>110</v>
      </c>
      <c r="J175" t="s">
        <v>421</v>
      </c>
      <c r="K175" t="s">
        <v>13</v>
      </c>
      <c r="L175" t="s">
        <v>13</v>
      </c>
    </row>
    <row r="176" spans="1:12" x14ac:dyDescent="0.5">
      <c r="A176" t="s">
        <v>422</v>
      </c>
      <c r="B176" t="str">
        <f>_xlfn.XLOOKUP(A176, 'sqft data'!A:A, 'sqft data'!C:C, "Not Found")</f>
        <v>Not Found</v>
      </c>
      <c r="C176">
        <f>_xlfn.XLOOKUP(A176, 'bedroom data'!A:A, 'bedroom data'!B:B, "Not Found")</f>
        <v>3</v>
      </c>
      <c r="D176">
        <f>_xlfn.XLOOKUP(A176, 'bathroom data'!A:A, 'bathroom data'!B:B, "Not Found")</f>
        <v>3</v>
      </c>
      <c r="E176" t="str">
        <f>_xlfn.XLOOKUP(A176, 'bedroom data'!A:A, 'bedroom data'!C:C, "Not Found")</f>
        <v>Alexandria</v>
      </c>
      <c r="F176" t="s">
        <v>423</v>
      </c>
      <c r="G176" t="s">
        <v>386</v>
      </c>
      <c r="H176" t="s">
        <v>424</v>
      </c>
      <c r="I176">
        <v>303</v>
      </c>
      <c r="J176" t="s">
        <v>386</v>
      </c>
      <c r="K176" t="s">
        <v>13</v>
      </c>
      <c r="L176" t="s">
        <v>13</v>
      </c>
    </row>
    <row r="177" spans="1:12" x14ac:dyDescent="0.5">
      <c r="A177" t="s">
        <v>422</v>
      </c>
      <c r="B177" t="str">
        <f>_xlfn.XLOOKUP(A177, 'sqft data'!A:A, 'sqft data'!C:C, "Not Found")</f>
        <v>Not Found</v>
      </c>
      <c r="C177">
        <f>_xlfn.XLOOKUP(A177, 'bedroom data'!A:A, 'bedroom data'!B:B, "Not Found")</f>
        <v>3</v>
      </c>
      <c r="D177">
        <f>_xlfn.XLOOKUP(A177, 'bathroom data'!A:A, 'bathroom data'!B:B, "Not Found")</f>
        <v>3</v>
      </c>
      <c r="E177" t="str">
        <f>_xlfn.XLOOKUP(A177, 'bedroom data'!A:A, 'bedroom data'!C:C, "Not Found")</f>
        <v>Alexandria</v>
      </c>
      <c r="F177" t="s">
        <v>423</v>
      </c>
      <c r="G177" t="s">
        <v>171</v>
      </c>
      <c r="H177" t="s">
        <v>425</v>
      </c>
      <c r="I177">
        <v>300</v>
      </c>
      <c r="J177" t="s">
        <v>426</v>
      </c>
      <c r="K177" t="s">
        <v>36</v>
      </c>
      <c r="L177" t="s">
        <v>13</v>
      </c>
    </row>
    <row r="178" spans="1:12" x14ac:dyDescent="0.5">
      <c r="A178" t="s">
        <v>422</v>
      </c>
      <c r="B178" t="str">
        <f>_xlfn.XLOOKUP(A178, 'sqft data'!A:A, 'sqft data'!C:C, "Not Found")</f>
        <v>Not Found</v>
      </c>
      <c r="C178">
        <f>_xlfn.XLOOKUP(A178, 'bedroom data'!A:A, 'bedroom data'!B:B, "Not Found")</f>
        <v>3</v>
      </c>
      <c r="D178">
        <f>_xlfn.XLOOKUP(A178, 'bathroom data'!A:A, 'bathroom data'!B:B, "Not Found")</f>
        <v>3</v>
      </c>
      <c r="E178" t="str">
        <f>_xlfn.XLOOKUP(A178, 'bedroom data'!A:A, 'bedroom data'!C:C, "Not Found")</f>
        <v>Alexandria</v>
      </c>
      <c r="F178" t="s">
        <v>423</v>
      </c>
      <c r="G178" t="s">
        <v>427</v>
      </c>
      <c r="H178" t="s">
        <v>175</v>
      </c>
      <c r="I178">
        <v>314.55</v>
      </c>
      <c r="J178" t="s">
        <v>428</v>
      </c>
      <c r="K178" t="s">
        <v>36</v>
      </c>
      <c r="L178" t="s">
        <v>13</v>
      </c>
    </row>
    <row r="179" spans="1:12" x14ac:dyDescent="0.5">
      <c r="A179" t="s">
        <v>429</v>
      </c>
      <c r="B179">
        <f>_xlfn.XLOOKUP(A179, 'sqft data'!A:A, 'sqft data'!C:C, "Not Found")</f>
        <v>2600</v>
      </c>
      <c r="C179">
        <f>_xlfn.XLOOKUP(A179, 'bedroom data'!A:A, 'bedroom data'!B:B, "Not Found")</f>
        <v>4</v>
      </c>
      <c r="D179">
        <f>_xlfn.XLOOKUP(A179, 'bathroom data'!A:A, 'bathroom data'!B:B, "Not Found")</f>
        <v>3</v>
      </c>
      <c r="E179" t="str">
        <f>_xlfn.XLOOKUP(A179, 'bedroom data'!A:A, 'bedroom data'!C:C, "Not Found")</f>
        <v>Palisades</v>
      </c>
      <c r="F179" t="s">
        <v>430</v>
      </c>
      <c r="G179" t="s">
        <v>171</v>
      </c>
      <c r="H179" t="s">
        <v>34</v>
      </c>
      <c r="I179">
        <v>290</v>
      </c>
      <c r="J179" t="s">
        <v>160</v>
      </c>
      <c r="K179" t="s">
        <v>36</v>
      </c>
      <c r="L179" t="s">
        <v>36</v>
      </c>
    </row>
    <row r="180" spans="1:12" x14ac:dyDescent="0.5">
      <c r="A180" t="s">
        <v>429</v>
      </c>
      <c r="B180">
        <f>_xlfn.XLOOKUP(A180, 'sqft data'!A:A, 'sqft data'!C:C, "Not Found")</f>
        <v>2600</v>
      </c>
      <c r="C180">
        <f>_xlfn.XLOOKUP(A180, 'bedroom data'!A:A, 'bedroom data'!B:B, "Not Found")</f>
        <v>4</v>
      </c>
      <c r="D180">
        <f>_xlfn.XLOOKUP(A180, 'bathroom data'!A:A, 'bathroom data'!B:B, "Not Found")</f>
        <v>3</v>
      </c>
      <c r="E180" t="str">
        <f>_xlfn.XLOOKUP(A180, 'bedroom data'!A:A, 'bedroom data'!C:C, "Not Found")</f>
        <v>Palisades</v>
      </c>
      <c r="F180" t="s">
        <v>430</v>
      </c>
      <c r="G180" t="s">
        <v>425</v>
      </c>
      <c r="H180" t="s">
        <v>431</v>
      </c>
      <c r="I180">
        <v>0</v>
      </c>
      <c r="J180" t="s">
        <v>432</v>
      </c>
      <c r="K180" t="s">
        <v>13</v>
      </c>
      <c r="L180" t="s">
        <v>13</v>
      </c>
    </row>
    <row r="181" spans="1:12" x14ac:dyDescent="0.5">
      <c r="A181" t="s">
        <v>433</v>
      </c>
      <c r="B181" t="str">
        <f>_xlfn.XLOOKUP(A181, 'sqft data'!A:A, 'sqft data'!C:C, "Not Found")</f>
        <v>Not Found</v>
      </c>
      <c r="C181">
        <f>_xlfn.XLOOKUP(A181, 'bedroom data'!A:A, 'bedroom data'!B:B, "Not Found")</f>
        <v>2</v>
      </c>
      <c r="D181">
        <f>_xlfn.XLOOKUP(A181, 'bathroom data'!A:A, 'bathroom data'!B:B, "Not Found")</f>
        <v>2.5</v>
      </c>
      <c r="E181" t="str">
        <f>_xlfn.XLOOKUP(A181, 'bedroom data'!A:A, 'bedroom data'!C:C, "Not Found")</f>
        <v>Truxton Circle</v>
      </c>
      <c r="F181" t="s">
        <v>434</v>
      </c>
      <c r="G181" t="s">
        <v>435</v>
      </c>
      <c r="H181" t="s">
        <v>75</v>
      </c>
      <c r="I181">
        <v>0</v>
      </c>
      <c r="J181" t="s">
        <v>435</v>
      </c>
      <c r="K181" t="s">
        <v>13</v>
      </c>
      <c r="L181" t="s">
        <v>13</v>
      </c>
    </row>
    <row r="182" spans="1:12" x14ac:dyDescent="0.5">
      <c r="A182" t="s">
        <v>433</v>
      </c>
      <c r="B182" t="str">
        <f>_xlfn.XLOOKUP(A182, 'sqft data'!A:A, 'sqft data'!C:C, "Not Found")</f>
        <v>Not Found</v>
      </c>
      <c r="C182">
        <f>_xlfn.XLOOKUP(A182, 'bedroom data'!A:A, 'bedroom data'!B:B, "Not Found")</f>
        <v>2</v>
      </c>
      <c r="D182">
        <f>_xlfn.XLOOKUP(A182, 'bathroom data'!A:A, 'bathroom data'!B:B, "Not Found")</f>
        <v>2.5</v>
      </c>
      <c r="E182" t="str">
        <f>_xlfn.XLOOKUP(A182, 'bedroom data'!A:A, 'bedroom data'!C:C, "Not Found")</f>
        <v>Truxton Circle</v>
      </c>
      <c r="F182" t="s">
        <v>434</v>
      </c>
      <c r="G182" t="s">
        <v>436</v>
      </c>
      <c r="H182" t="s">
        <v>437</v>
      </c>
      <c r="I182">
        <v>116.66</v>
      </c>
      <c r="J182" t="s">
        <v>438</v>
      </c>
      <c r="K182" t="s">
        <v>36</v>
      </c>
      <c r="L182" t="s">
        <v>13</v>
      </c>
    </row>
    <row r="183" spans="1:12" x14ac:dyDescent="0.5">
      <c r="A183" t="s">
        <v>439</v>
      </c>
      <c r="B183">
        <f>_xlfn.XLOOKUP(A183, 'sqft data'!A:A, 'sqft data'!C:C, "Not Found")</f>
        <v>626</v>
      </c>
      <c r="C183">
        <f>_xlfn.XLOOKUP(A183, 'bedroom data'!A:A, 'bedroom data'!B:B, "Not Found")</f>
        <v>1</v>
      </c>
      <c r="D183">
        <f>_xlfn.XLOOKUP(A183, 'bathroom data'!A:A, 'bathroom data'!B:B, "Not Found")</f>
        <v>1</v>
      </c>
      <c r="E183" t="str">
        <f>_xlfn.XLOOKUP(A183, 'bedroom data'!A:A, 'bedroom data'!C:C, "Not Found")</f>
        <v>Bethesda</v>
      </c>
      <c r="F183" t="s">
        <v>38</v>
      </c>
      <c r="G183" t="s">
        <v>440</v>
      </c>
      <c r="H183" t="s">
        <v>17</v>
      </c>
      <c r="I183">
        <v>116.66</v>
      </c>
      <c r="J183" t="s">
        <v>441</v>
      </c>
      <c r="K183" t="s">
        <v>36</v>
      </c>
      <c r="L183" t="s">
        <v>13</v>
      </c>
    </row>
    <row r="184" spans="1:12" x14ac:dyDescent="0.5">
      <c r="A184" t="s">
        <v>439</v>
      </c>
      <c r="B184">
        <f>_xlfn.XLOOKUP(A184, 'sqft data'!A:A, 'sqft data'!C:C, "Not Found")</f>
        <v>626</v>
      </c>
      <c r="C184">
        <f>_xlfn.XLOOKUP(A184, 'bedroom data'!A:A, 'bedroom data'!B:B, "Not Found")</f>
        <v>1</v>
      </c>
      <c r="D184">
        <f>_xlfn.XLOOKUP(A184, 'bathroom data'!A:A, 'bathroom data'!B:B, "Not Found")</f>
        <v>1</v>
      </c>
      <c r="E184" t="str">
        <f>_xlfn.XLOOKUP(A184, 'bedroom data'!A:A, 'bedroom data'!C:C, "Not Found")</f>
        <v>Bethesda</v>
      </c>
      <c r="F184" t="s">
        <v>38</v>
      </c>
      <c r="G184" t="s">
        <v>442</v>
      </c>
      <c r="H184" t="s">
        <v>443</v>
      </c>
      <c r="I184">
        <v>121</v>
      </c>
      <c r="J184" t="s">
        <v>444</v>
      </c>
      <c r="K184" t="s">
        <v>36</v>
      </c>
      <c r="L184" t="s">
        <v>13</v>
      </c>
    </row>
    <row r="185" spans="1:12" x14ac:dyDescent="0.5">
      <c r="A185" t="s">
        <v>445</v>
      </c>
      <c r="B185">
        <f>_xlfn.XLOOKUP(A185, 'sqft data'!A:A, 'sqft data'!C:C, "Not Found")</f>
        <v>750</v>
      </c>
      <c r="C185">
        <f>_xlfn.XLOOKUP(A185, 'bedroom data'!A:A, 'bedroom data'!B:B, "Not Found")</f>
        <v>1</v>
      </c>
      <c r="D185">
        <f>_xlfn.XLOOKUP(A185, 'bathroom data'!A:A, 'bathroom data'!B:B, "Not Found")</f>
        <v>1</v>
      </c>
      <c r="E185" t="str">
        <f>_xlfn.XLOOKUP(A185, 'bedroom data'!A:A, 'bedroom data'!C:C, "Not Found")</f>
        <v>Mt Vernon Sq / Convention Center</v>
      </c>
      <c r="F185" t="s">
        <v>446</v>
      </c>
      <c r="G185" t="s">
        <v>301</v>
      </c>
      <c r="H185" t="s">
        <v>381</v>
      </c>
      <c r="I185">
        <v>0</v>
      </c>
      <c r="J185" t="s">
        <v>301</v>
      </c>
      <c r="K185" t="s">
        <v>13</v>
      </c>
      <c r="L185" t="s">
        <v>13</v>
      </c>
    </row>
    <row r="186" spans="1:12" x14ac:dyDescent="0.5">
      <c r="A186" t="s">
        <v>445</v>
      </c>
      <c r="B186">
        <f>_xlfn.XLOOKUP(A186, 'sqft data'!A:A, 'sqft data'!C:C, "Not Found")</f>
        <v>750</v>
      </c>
      <c r="C186">
        <f>_xlfn.XLOOKUP(A186, 'bedroom data'!A:A, 'bedroom data'!B:B, "Not Found")</f>
        <v>1</v>
      </c>
      <c r="D186">
        <f>_xlfn.XLOOKUP(A186, 'bathroom data'!A:A, 'bathroom data'!B:B, "Not Found")</f>
        <v>1</v>
      </c>
      <c r="E186" t="str">
        <f>_xlfn.XLOOKUP(A186, 'bedroom data'!A:A, 'bedroom data'!C:C, "Not Found")</f>
        <v>Mt Vernon Sq / Convention Center</v>
      </c>
      <c r="F186" t="s">
        <v>446</v>
      </c>
      <c r="G186" t="s">
        <v>298</v>
      </c>
      <c r="H186" t="s">
        <v>447</v>
      </c>
      <c r="I186">
        <v>123</v>
      </c>
      <c r="J186" t="s">
        <v>345</v>
      </c>
      <c r="K186" t="s">
        <v>36</v>
      </c>
      <c r="L186" t="s">
        <v>13</v>
      </c>
    </row>
    <row r="187" spans="1:12" x14ac:dyDescent="0.5">
      <c r="A187" t="s">
        <v>445</v>
      </c>
      <c r="B187">
        <f>_xlfn.XLOOKUP(A187, 'sqft data'!A:A, 'sqft data'!C:C, "Not Found")</f>
        <v>750</v>
      </c>
      <c r="C187">
        <f>_xlfn.XLOOKUP(A187, 'bedroom data'!A:A, 'bedroom data'!B:B, "Not Found")</f>
        <v>1</v>
      </c>
      <c r="D187">
        <f>_xlfn.XLOOKUP(A187, 'bathroom data'!A:A, 'bathroom data'!B:B, "Not Found")</f>
        <v>1</v>
      </c>
      <c r="E187" t="str">
        <f>_xlfn.XLOOKUP(A187, 'bedroom data'!A:A, 'bedroom data'!C:C, "Not Found")</f>
        <v>Mt Vernon Sq / Convention Center</v>
      </c>
      <c r="F187" t="s">
        <v>446</v>
      </c>
      <c r="G187" t="s">
        <v>448</v>
      </c>
      <c r="H187" t="s">
        <v>276</v>
      </c>
      <c r="I187">
        <v>0</v>
      </c>
      <c r="J187" t="s">
        <v>449</v>
      </c>
      <c r="K187" t="s">
        <v>13</v>
      </c>
      <c r="L187" t="s">
        <v>13</v>
      </c>
    </row>
    <row r="188" spans="1:12" x14ac:dyDescent="0.5">
      <c r="A188" t="s">
        <v>445</v>
      </c>
      <c r="B188">
        <f>_xlfn.XLOOKUP(A188, 'sqft data'!A:A, 'sqft data'!C:C, "Not Found")</f>
        <v>750</v>
      </c>
      <c r="C188">
        <f>_xlfn.XLOOKUP(A188, 'bedroom data'!A:A, 'bedroom data'!B:B, "Not Found")</f>
        <v>1</v>
      </c>
      <c r="D188">
        <f>_xlfn.XLOOKUP(A188, 'bathroom data'!A:A, 'bathroom data'!B:B, "Not Found")</f>
        <v>1</v>
      </c>
      <c r="E188" t="str">
        <f>_xlfn.XLOOKUP(A188, 'bedroom data'!A:A, 'bedroom data'!C:C, "Not Found")</f>
        <v>Mt Vernon Sq / Convention Center</v>
      </c>
      <c r="F188" t="s">
        <v>446</v>
      </c>
      <c r="G188" t="s">
        <v>237</v>
      </c>
      <c r="H188" t="s">
        <v>450</v>
      </c>
      <c r="I188">
        <v>123</v>
      </c>
      <c r="J188" t="s">
        <v>451</v>
      </c>
      <c r="K188" t="s">
        <v>13</v>
      </c>
      <c r="L188" t="s">
        <v>13</v>
      </c>
    </row>
    <row r="189" spans="1:12" x14ac:dyDescent="0.5">
      <c r="A189" t="s">
        <v>452</v>
      </c>
      <c r="B189" t="str">
        <f>_xlfn.XLOOKUP(A189, 'sqft data'!A:A, 'sqft data'!C:C, "Not Found")</f>
        <v>Not Found</v>
      </c>
      <c r="C189">
        <f>_xlfn.XLOOKUP(A189, 'bedroom data'!A:A, 'bedroom data'!B:B, "Not Found")</f>
        <v>4</v>
      </c>
      <c r="D189">
        <f>_xlfn.XLOOKUP(A189, 'bathroom data'!A:A, 'bathroom data'!B:B, "Not Found")</f>
        <v>3.5</v>
      </c>
      <c r="E189" t="str">
        <f>_xlfn.XLOOKUP(A189, 'bedroom data'!A:A, 'bedroom data'!C:C, "Not Found")</f>
        <v>Wesley Heights</v>
      </c>
      <c r="F189" t="s">
        <v>453</v>
      </c>
      <c r="G189" t="s">
        <v>454</v>
      </c>
      <c r="H189" t="s">
        <v>135</v>
      </c>
      <c r="I189">
        <v>216.66</v>
      </c>
      <c r="J189" t="s">
        <v>455</v>
      </c>
      <c r="K189" t="s">
        <v>13</v>
      </c>
      <c r="L189" t="s">
        <v>13</v>
      </c>
    </row>
    <row r="190" spans="1:12" x14ac:dyDescent="0.5">
      <c r="A190" t="s">
        <v>456</v>
      </c>
      <c r="B190">
        <f>_xlfn.XLOOKUP(A190, 'sqft data'!A:A, 'sqft data'!C:C, "Not Found")</f>
        <v>763</v>
      </c>
      <c r="C190">
        <f>_xlfn.XLOOKUP(A190, 'bedroom data'!A:A, 'bedroom data'!B:B, "Not Found")</f>
        <v>3</v>
      </c>
      <c r="D190">
        <f>_xlfn.XLOOKUP(A190, 'bathroom data'!A:A, 'bathroom data'!B:B, "Not Found")</f>
        <v>2</v>
      </c>
      <c r="E190" t="str">
        <f>_xlfn.XLOOKUP(A190, 'bedroom data'!A:A, 'bedroom data'!C:C, "Not Found")</f>
        <v>Palisades</v>
      </c>
      <c r="F190" t="s">
        <v>457</v>
      </c>
      <c r="G190" t="s">
        <v>458</v>
      </c>
      <c r="H190" t="s">
        <v>459</v>
      </c>
      <c r="I190">
        <v>0</v>
      </c>
      <c r="J190" t="s">
        <v>458</v>
      </c>
      <c r="K190" t="s">
        <v>13</v>
      </c>
      <c r="L190" t="s">
        <v>13</v>
      </c>
    </row>
    <row r="191" spans="1:12" x14ac:dyDescent="0.5">
      <c r="A191" t="s">
        <v>460</v>
      </c>
      <c r="B191">
        <f>_xlfn.XLOOKUP(A191, 'sqft data'!A:A, 'sqft data'!C:C, "Not Found")</f>
        <v>1542</v>
      </c>
      <c r="C191">
        <f>_xlfn.XLOOKUP(A191, 'bedroom data'!A:A, 'bedroom data'!B:B, "Not Found")</f>
        <v>3</v>
      </c>
      <c r="D191">
        <f>_xlfn.XLOOKUP(A191, 'bathroom data'!A:A, 'bathroom data'!B:B, "Not Found")</f>
        <v>2.5</v>
      </c>
      <c r="E191" t="str">
        <f>_xlfn.XLOOKUP(A191, 'bedroom data'!A:A, 'bedroom data'!C:C, "Not Found")</f>
        <v>Georgetown</v>
      </c>
      <c r="F191" t="s">
        <v>461</v>
      </c>
      <c r="G191" t="s">
        <v>23</v>
      </c>
      <c r="H191" t="s">
        <v>291</v>
      </c>
      <c r="I191">
        <v>309</v>
      </c>
      <c r="J191" t="s">
        <v>462</v>
      </c>
      <c r="K191" t="s">
        <v>13</v>
      </c>
      <c r="L191" t="s">
        <v>13</v>
      </c>
    </row>
    <row r="192" spans="1:12" x14ac:dyDescent="0.5">
      <c r="A192" t="s">
        <v>460</v>
      </c>
      <c r="B192">
        <f>_xlfn.XLOOKUP(A192, 'sqft data'!A:A, 'sqft data'!C:C, "Not Found")</f>
        <v>1542</v>
      </c>
      <c r="C192">
        <f>_xlfn.XLOOKUP(A192, 'bedroom data'!A:A, 'bedroom data'!B:B, "Not Found")</f>
        <v>3</v>
      </c>
      <c r="D192">
        <f>_xlfn.XLOOKUP(A192, 'bathroom data'!A:A, 'bathroom data'!B:B, "Not Found")</f>
        <v>2.5</v>
      </c>
      <c r="E192" t="str">
        <f>_xlfn.XLOOKUP(A192, 'bedroom data'!A:A, 'bedroom data'!C:C, "Not Found")</f>
        <v>Georgetown</v>
      </c>
      <c r="F192" t="s">
        <v>461</v>
      </c>
      <c r="G192" t="s">
        <v>357</v>
      </c>
      <c r="H192" t="s">
        <v>25</v>
      </c>
      <c r="I192">
        <v>309</v>
      </c>
      <c r="J192" t="s">
        <v>463</v>
      </c>
      <c r="K192" t="s">
        <v>13</v>
      </c>
      <c r="L192" t="s">
        <v>13</v>
      </c>
    </row>
    <row r="193" spans="1:12" x14ac:dyDescent="0.5">
      <c r="A193" t="s">
        <v>460</v>
      </c>
      <c r="B193">
        <f>_xlfn.XLOOKUP(A193, 'sqft data'!A:A, 'sqft data'!C:C, "Not Found")</f>
        <v>1542</v>
      </c>
      <c r="C193">
        <f>_xlfn.XLOOKUP(A193, 'bedroom data'!A:A, 'bedroom data'!B:B, "Not Found")</f>
        <v>3</v>
      </c>
      <c r="D193">
        <f>_xlfn.XLOOKUP(A193, 'bathroom data'!A:A, 'bathroom data'!B:B, "Not Found")</f>
        <v>2.5</v>
      </c>
      <c r="E193" t="str">
        <f>_xlfn.XLOOKUP(A193, 'bedroom data'!A:A, 'bedroom data'!C:C, "Not Found")</f>
        <v>Georgetown</v>
      </c>
      <c r="F193" t="s">
        <v>461</v>
      </c>
      <c r="G193" t="s">
        <v>18</v>
      </c>
      <c r="H193" t="s">
        <v>251</v>
      </c>
      <c r="I193">
        <v>309</v>
      </c>
      <c r="J193" t="s">
        <v>227</v>
      </c>
      <c r="K193" t="s">
        <v>36</v>
      </c>
      <c r="L193" t="s">
        <v>13</v>
      </c>
    </row>
    <row r="194" spans="1:12" x14ac:dyDescent="0.5">
      <c r="A194" t="s">
        <v>460</v>
      </c>
      <c r="B194">
        <f>_xlfn.XLOOKUP(A194, 'sqft data'!A:A, 'sqft data'!C:C, "Not Found")</f>
        <v>1542</v>
      </c>
      <c r="C194">
        <f>_xlfn.XLOOKUP(A194, 'bedroom data'!A:A, 'bedroom data'!B:B, "Not Found")</f>
        <v>3</v>
      </c>
      <c r="D194">
        <f>_xlfn.XLOOKUP(A194, 'bathroom data'!A:A, 'bathroom data'!B:B, "Not Found")</f>
        <v>2.5</v>
      </c>
      <c r="E194" t="str">
        <f>_xlfn.XLOOKUP(A194, 'bedroom data'!A:A, 'bedroom data'!C:C, "Not Found")</f>
        <v>Georgetown</v>
      </c>
      <c r="F194" t="s">
        <v>461</v>
      </c>
      <c r="G194" t="s">
        <v>258</v>
      </c>
      <c r="H194" t="s">
        <v>464</v>
      </c>
      <c r="I194">
        <v>309</v>
      </c>
      <c r="J194" t="s">
        <v>465</v>
      </c>
      <c r="K194" t="s">
        <v>13</v>
      </c>
      <c r="L194" t="s">
        <v>13</v>
      </c>
    </row>
    <row r="195" spans="1:12" x14ac:dyDescent="0.5">
      <c r="A195" t="s">
        <v>460</v>
      </c>
      <c r="B195">
        <f>_xlfn.XLOOKUP(A195, 'sqft data'!A:A, 'sqft data'!C:C, "Not Found")</f>
        <v>1542</v>
      </c>
      <c r="C195">
        <f>_xlfn.XLOOKUP(A195, 'bedroom data'!A:A, 'bedroom data'!B:B, "Not Found")</f>
        <v>3</v>
      </c>
      <c r="D195">
        <f>_xlfn.XLOOKUP(A195, 'bathroom data'!A:A, 'bathroom data'!B:B, "Not Found")</f>
        <v>2.5</v>
      </c>
      <c r="E195" t="str">
        <f>_xlfn.XLOOKUP(A195, 'bedroom data'!A:A, 'bedroom data'!C:C, "Not Found")</f>
        <v>Georgetown</v>
      </c>
      <c r="F195" t="s">
        <v>461</v>
      </c>
      <c r="G195" t="s">
        <v>466</v>
      </c>
      <c r="H195" t="s">
        <v>144</v>
      </c>
      <c r="I195">
        <v>309</v>
      </c>
      <c r="J195" t="s">
        <v>467</v>
      </c>
      <c r="K195" t="s">
        <v>36</v>
      </c>
      <c r="L195" t="s">
        <v>13</v>
      </c>
    </row>
    <row r="196" spans="1:12" x14ac:dyDescent="0.5">
      <c r="A196" t="s">
        <v>468</v>
      </c>
      <c r="B196">
        <f>_xlfn.XLOOKUP(A196, 'sqft data'!A:A, 'sqft data'!C:C, "Not Found")</f>
        <v>1600</v>
      </c>
      <c r="C196">
        <f>_xlfn.XLOOKUP(A196, 'bedroom data'!A:A, 'bedroom data'!B:B, "Not Found")</f>
        <v>2</v>
      </c>
      <c r="D196">
        <f>_xlfn.XLOOKUP(A196, 'bathroom data'!A:A, 'bathroom data'!B:B, "Not Found")</f>
        <v>2.5</v>
      </c>
      <c r="E196" t="str">
        <f>_xlfn.XLOOKUP(A196, 'bedroom data'!A:A, 'bedroom data'!C:C, "Not Found")</f>
        <v>Capitol Hill</v>
      </c>
      <c r="F196" t="s">
        <v>469</v>
      </c>
      <c r="G196" t="s">
        <v>470</v>
      </c>
      <c r="H196" t="s">
        <v>471</v>
      </c>
      <c r="I196">
        <v>188.6</v>
      </c>
      <c r="J196" t="s">
        <v>128</v>
      </c>
      <c r="K196" t="s">
        <v>36</v>
      </c>
      <c r="L196" t="s">
        <v>36</v>
      </c>
    </row>
    <row r="197" spans="1:12" x14ac:dyDescent="0.5">
      <c r="A197" t="s">
        <v>468</v>
      </c>
      <c r="B197">
        <f>_xlfn.XLOOKUP(A197, 'sqft data'!A:A, 'sqft data'!C:C, "Not Found")</f>
        <v>1600</v>
      </c>
      <c r="C197">
        <f>_xlfn.XLOOKUP(A197, 'bedroom data'!A:A, 'bedroom data'!B:B, "Not Found")</f>
        <v>2</v>
      </c>
      <c r="D197">
        <f>_xlfn.XLOOKUP(A197, 'bathroom data'!A:A, 'bathroom data'!B:B, "Not Found")</f>
        <v>2.5</v>
      </c>
      <c r="E197" t="str">
        <f>_xlfn.XLOOKUP(A197, 'bedroom data'!A:A, 'bedroom data'!C:C, "Not Found")</f>
        <v>Capitol Hill</v>
      </c>
      <c r="F197" t="s">
        <v>469</v>
      </c>
      <c r="G197" t="s">
        <v>472</v>
      </c>
      <c r="H197" t="s">
        <v>174</v>
      </c>
      <c r="I197">
        <v>0</v>
      </c>
      <c r="J197" t="s">
        <v>471</v>
      </c>
      <c r="K197" t="s">
        <v>13</v>
      </c>
      <c r="L197" t="s">
        <v>13</v>
      </c>
    </row>
    <row r="198" spans="1:12" x14ac:dyDescent="0.5">
      <c r="A198" t="s">
        <v>468</v>
      </c>
      <c r="B198">
        <f>_xlfn.XLOOKUP(A198, 'sqft data'!A:A, 'sqft data'!C:C, "Not Found")</f>
        <v>1600</v>
      </c>
      <c r="C198">
        <f>_xlfn.XLOOKUP(A198, 'bedroom data'!A:A, 'bedroom data'!B:B, "Not Found")</f>
        <v>2</v>
      </c>
      <c r="D198">
        <f>_xlfn.XLOOKUP(A198, 'bathroom data'!A:A, 'bathroom data'!B:B, "Not Found")</f>
        <v>2.5</v>
      </c>
      <c r="E198" t="str">
        <f>_xlfn.XLOOKUP(A198, 'bedroom data'!A:A, 'bedroom data'!C:C, "Not Found")</f>
        <v>Capitol Hill</v>
      </c>
      <c r="F198" t="s">
        <v>469</v>
      </c>
      <c r="G198" t="s">
        <v>473</v>
      </c>
      <c r="H198" t="s">
        <v>474</v>
      </c>
      <c r="I198">
        <v>0</v>
      </c>
      <c r="J198" t="s">
        <v>473</v>
      </c>
      <c r="K198" t="s">
        <v>13</v>
      </c>
      <c r="L198" t="s">
        <v>13</v>
      </c>
    </row>
    <row r="199" spans="1:12" x14ac:dyDescent="0.5">
      <c r="A199" t="s">
        <v>468</v>
      </c>
      <c r="B199">
        <f>_xlfn.XLOOKUP(A199, 'sqft data'!A:A, 'sqft data'!C:C, "Not Found")</f>
        <v>1600</v>
      </c>
      <c r="C199">
        <f>_xlfn.XLOOKUP(A199, 'bedroom data'!A:A, 'bedroom data'!B:B, "Not Found")</f>
        <v>2</v>
      </c>
      <c r="D199">
        <f>_xlfn.XLOOKUP(A199, 'bathroom data'!A:A, 'bathroom data'!B:B, "Not Found")</f>
        <v>2.5</v>
      </c>
      <c r="E199" t="str">
        <f>_xlfn.XLOOKUP(A199, 'bedroom data'!A:A, 'bedroom data'!C:C, "Not Found")</f>
        <v>Capitol Hill</v>
      </c>
      <c r="F199" t="s">
        <v>469</v>
      </c>
      <c r="G199" t="s">
        <v>175</v>
      </c>
      <c r="H199" t="s">
        <v>270</v>
      </c>
      <c r="I199">
        <v>189</v>
      </c>
      <c r="J199" t="s">
        <v>123</v>
      </c>
      <c r="K199" t="s">
        <v>36</v>
      </c>
      <c r="L199" t="s">
        <v>13</v>
      </c>
    </row>
    <row r="200" spans="1:12" x14ac:dyDescent="0.5">
      <c r="A200" t="s">
        <v>475</v>
      </c>
      <c r="B200">
        <f>_xlfn.XLOOKUP(A200, 'sqft data'!A:A, 'sqft data'!C:C, "Not Found")</f>
        <v>1500</v>
      </c>
      <c r="C200">
        <f>_xlfn.XLOOKUP(A200, 'bedroom data'!A:A, 'bedroom data'!B:B, "Not Found")</f>
        <v>2</v>
      </c>
      <c r="D200">
        <f>_xlfn.XLOOKUP(A200, 'bathroom data'!A:A, 'bathroom data'!B:B, "Not Found")</f>
        <v>1</v>
      </c>
      <c r="E200" t="str">
        <f>_xlfn.XLOOKUP(A200, 'bedroom data'!A:A, 'bedroom data'!C:C, "Not Found")</f>
        <v>Mt Vernon Sq / Convention Center</v>
      </c>
      <c r="F200" t="s">
        <v>476</v>
      </c>
      <c r="G200" t="s">
        <v>283</v>
      </c>
      <c r="H200" t="s">
        <v>25</v>
      </c>
      <c r="I200">
        <v>158</v>
      </c>
      <c r="J200" t="s">
        <v>477</v>
      </c>
      <c r="K200" t="s">
        <v>36</v>
      </c>
      <c r="L200" t="s">
        <v>13</v>
      </c>
    </row>
    <row r="201" spans="1:12" x14ac:dyDescent="0.5">
      <c r="A201" t="s">
        <v>475</v>
      </c>
      <c r="B201">
        <f>_xlfn.XLOOKUP(A201, 'sqft data'!A:A, 'sqft data'!C:C, "Not Found")</f>
        <v>1500</v>
      </c>
      <c r="C201">
        <f>_xlfn.XLOOKUP(A201, 'bedroom data'!A:A, 'bedroom data'!B:B, "Not Found")</f>
        <v>2</v>
      </c>
      <c r="D201">
        <f>_xlfn.XLOOKUP(A201, 'bathroom data'!A:A, 'bathroom data'!B:B, "Not Found")</f>
        <v>1</v>
      </c>
      <c r="E201" t="str">
        <f>_xlfn.XLOOKUP(A201, 'bedroom data'!A:A, 'bedroom data'!C:C, "Not Found")</f>
        <v>Mt Vernon Sq / Convention Center</v>
      </c>
      <c r="F201" t="s">
        <v>476</v>
      </c>
      <c r="G201" t="s">
        <v>478</v>
      </c>
      <c r="H201" t="s">
        <v>96</v>
      </c>
      <c r="I201">
        <v>165</v>
      </c>
      <c r="J201" t="s">
        <v>198</v>
      </c>
      <c r="K201" t="s">
        <v>13</v>
      </c>
      <c r="L201" t="s">
        <v>13</v>
      </c>
    </row>
    <row r="202" spans="1:12" x14ac:dyDescent="0.5">
      <c r="A202" t="s">
        <v>475</v>
      </c>
      <c r="B202">
        <f>_xlfn.XLOOKUP(A202, 'sqft data'!A:A, 'sqft data'!C:C, "Not Found")</f>
        <v>1500</v>
      </c>
      <c r="C202">
        <f>_xlfn.XLOOKUP(A202, 'bedroom data'!A:A, 'bedroom data'!B:B, "Not Found")</f>
        <v>2</v>
      </c>
      <c r="D202">
        <f>_xlfn.XLOOKUP(A202, 'bathroom data'!A:A, 'bathroom data'!B:B, "Not Found")</f>
        <v>1</v>
      </c>
      <c r="E202" t="str">
        <f>_xlfn.XLOOKUP(A202, 'bedroom data'!A:A, 'bedroom data'!C:C, "Not Found")</f>
        <v>Mt Vernon Sq / Convention Center</v>
      </c>
      <c r="F202" t="s">
        <v>476</v>
      </c>
      <c r="G202" t="s">
        <v>479</v>
      </c>
      <c r="H202" t="s">
        <v>480</v>
      </c>
      <c r="I202">
        <v>56.66</v>
      </c>
      <c r="J202" t="s">
        <v>481</v>
      </c>
      <c r="K202" t="s">
        <v>36</v>
      </c>
      <c r="L202" t="s">
        <v>13</v>
      </c>
    </row>
    <row r="203" spans="1:12" x14ac:dyDescent="0.5">
      <c r="A203" t="s">
        <v>475</v>
      </c>
      <c r="B203">
        <f>_xlfn.XLOOKUP(A203, 'sqft data'!A:A, 'sqft data'!C:C, "Not Found")</f>
        <v>1500</v>
      </c>
      <c r="C203">
        <f>_xlfn.XLOOKUP(A203, 'bedroom data'!A:A, 'bedroom data'!B:B, "Not Found")</f>
        <v>2</v>
      </c>
      <c r="D203">
        <f>_xlfn.XLOOKUP(A203, 'bathroom data'!A:A, 'bathroom data'!B:B, "Not Found")</f>
        <v>1</v>
      </c>
      <c r="E203" t="str">
        <f>_xlfn.XLOOKUP(A203, 'bedroom data'!A:A, 'bedroom data'!C:C, "Not Found")</f>
        <v>Mt Vernon Sq / Convention Center</v>
      </c>
      <c r="F203" t="s">
        <v>476</v>
      </c>
      <c r="G203" t="s">
        <v>228</v>
      </c>
      <c r="H203" t="s">
        <v>229</v>
      </c>
      <c r="I203">
        <v>185</v>
      </c>
      <c r="J203" t="s">
        <v>230</v>
      </c>
      <c r="K203" t="s">
        <v>13</v>
      </c>
      <c r="L203" t="s">
        <v>13</v>
      </c>
    </row>
    <row r="204" spans="1:12" x14ac:dyDescent="0.5">
      <c r="A204" t="s">
        <v>482</v>
      </c>
      <c r="B204">
        <f>_xlfn.XLOOKUP(A204, 'sqft data'!A:A, 'sqft data'!C:C, "Not Found")</f>
        <v>1100</v>
      </c>
      <c r="C204">
        <f>_xlfn.XLOOKUP(A204, 'bedroom data'!A:A, 'bedroom data'!B:B, "Not Found")</f>
        <v>2</v>
      </c>
      <c r="D204">
        <f>_xlfn.XLOOKUP(A204, 'bathroom data'!A:A, 'bathroom data'!B:B, "Not Found")</f>
        <v>2</v>
      </c>
      <c r="E204" t="str">
        <f>_xlfn.XLOOKUP(A204, 'bedroom data'!A:A, 'bedroom data'!C:C, "Not Found")</f>
        <v>Mt Vernon Sq / Convention Center</v>
      </c>
      <c r="F204" t="s">
        <v>483</v>
      </c>
      <c r="G204" t="s">
        <v>484</v>
      </c>
      <c r="H204" t="s">
        <v>407</v>
      </c>
      <c r="I204">
        <v>187</v>
      </c>
      <c r="J204" t="s">
        <v>417</v>
      </c>
      <c r="K204" t="s">
        <v>36</v>
      </c>
      <c r="L204" t="s">
        <v>13</v>
      </c>
    </row>
    <row r="205" spans="1:12" x14ac:dyDescent="0.5">
      <c r="A205" t="s">
        <v>482</v>
      </c>
      <c r="B205">
        <f>_xlfn.XLOOKUP(A205, 'sqft data'!A:A, 'sqft data'!C:C, "Not Found")</f>
        <v>1100</v>
      </c>
      <c r="C205">
        <f>_xlfn.XLOOKUP(A205, 'bedroom data'!A:A, 'bedroom data'!B:B, "Not Found")</f>
        <v>2</v>
      </c>
      <c r="D205">
        <f>_xlfn.XLOOKUP(A205, 'bathroom data'!A:A, 'bathroom data'!B:B, "Not Found")</f>
        <v>2</v>
      </c>
      <c r="E205" t="str">
        <f>_xlfn.XLOOKUP(A205, 'bedroom data'!A:A, 'bedroom data'!C:C, "Not Found")</f>
        <v>Mt Vernon Sq / Convention Center</v>
      </c>
      <c r="F205" t="s">
        <v>483</v>
      </c>
      <c r="G205" t="s">
        <v>384</v>
      </c>
      <c r="H205" t="s">
        <v>448</v>
      </c>
      <c r="I205">
        <v>196.35</v>
      </c>
      <c r="J205" t="s">
        <v>21</v>
      </c>
      <c r="K205" t="s">
        <v>13</v>
      </c>
      <c r="L205" t="s">
        <v>13</v>
      </c>
    </row>
    <row r="206" spans="1:12" x14ac:dyDescent="0.5">
      <c r="A206" t="s">
        <v>482</v>
      </c>
      <c r="B206">
        <f>_xlfn.XLOOKUP(A206, 'sqft data'!A:A, 'sqft data'!C:C, "Not Found")</f>
        <v>1100</v>
      </c>
      <c r="C206">
        <f>_xlfn.XLOOKUP(A206, 'bedroom data'!A:A, 'bedroom data'!B:B, "Not Found")</f>
        <v>2</v>
      </c>
      <c r="D206">
        <f>_xlfn.XLOOKUP(A206, 'bathroom data'!A:A, 'bathroom data'!B:B, "Not Found")</f>
        <v>2</v>
      </c>
      <c r="E206" t="str">
        <f>_xlfn.XLOOKUP(A206, 'bedroom data'!A:A, 'bedroom data'!C:C, "Not Found")</f>
        <v>Mt Vernon Sq / Convention Center</v>
      </c>
      <c r="F206" t="s">
        <v>483</v>
      </c>
      <c r="G206" t="s">
        <v>485</v>
      </c>
      <c r="H206" t="s">
        <v>244</v>
      </c>
      <c r="I206">
        <v>199</v>
      </c>
      <c r="J206" t="s">
        <v>486</v>
      </c>
      <c r="K206" t="s">
        <v>36</v>
      </c>
      <c r="L206" t="s">
        <v>36</v>
      </c>
    </row>
    <row r="207" spans="1:12" x14ac:dyDescent="0.5">
      <c r="A207" t="s">
        <v>487</v>
      </c>
      <c r="B207">
        <f>_xlfn.XLOOKUP(A207, 'sqft data'!A:A, 'sqft data'!C:C, "Not Found")</f>
        <v>1300</v>
      </c>
      <c r="C207">
        <f>_xlfn.XLOOKUP(A207, 'bedroom data'!A:A, 'bedroom data'!B:B, "Not Found")</f>
        <v>3</v>
      </c>
      <c r="D207">
        <f>_xlfn.XLOOKUP(A207, 'bathroom data'!A:A, 'bathroom data'!B:B, "Not Found")</f>
        <v>3</v>
      </c>
      <c r="E207" t="str">
        <f>_xlfn.XLOOKUP(A207, 'bedroom data'!A:A, 'bedroom data'!C:C, "Not Found")</f>
        <v>Capitol Hill</v>
      </c>
      <c r="F207" t="s">
        <v>488</v>
      </c>
      <c r="G207" t="s">
        <v>489</v>
      </c>
      <c r="H207" t="s">
        <v>45</v>
      </c>
      <c r="I207">
        <v>230</v>
      </c>
      <c r="J207" t="s">
        <v>490</v>
      </c>
      <c r="K207" t="s">
        <v>36</v>
      </c>
      <c r="L207" t="s">
        <v>13</v>
      </c>
    </row>
    <row r="208" spans="1:12" x14ac:dyDescent="0.5">
      <c r="A208" t="s">
        <v>487</v>
      </c>
      <c r="B208">
        <f>_xlfn.XLOOKUP(A208, 'sqft data'!A:A, 'sqft data'!C:C, "Not Found")</f>
        <v>1300</v>
      </c>
      <c r="C208">
        <f>_xlfn.XLOOKUP(A208, 'bedroom data'!A:A, 'bedroom data'!B:B, "Not Found")</f>
        <v>3</v>
      </c>
      <c r="D208">
        <f>_xlfn.XLOOKUP(A208, 'bathroom data'!A:A, 'bathroom data'!B:B, "Not Found")</f>
        <v>3</v>
      </c>
      <c r="E208" t="str">
        <f>_xlfn.XLOOKUP(A208, 'bedroom data'!A:A, 'bedroom data'!C:C, "Not Found")</f>
        <v>Capitol Hill</v>
      </c>
      <c r="F208" t="s">
        <v>488</v>
      </c>
      <c r="G208" t="s">
        <v>442</v>
      </c>
      <c r="H208" t="s">
        <v>491</v>
      </c>
      <c r="I208">
        <v>0</v>
      </c>
      <c r="J208" t="s">
        <v>492</v>
      </c>
      <c r="K208" t="s">
        <v>13</v>
      </c>
      <c r="L208" t="s">
        <v>13</v>
      </c>
    </row>
    <row r="209" spans="1:12" x14ac:dyDescent="0.5">
      <c r="A209" t="s">
        <v>487</v>
      </c>
      <c r="B209">
        <f>_xlfn.XLOOKUP(A209, 'sqft data'!A:A, 'sqft data'!C:C, "Not Found")</f>
        <v>1300</v>
      </c>
      <c r="C209">
        <f>_xlfn.XLOOKUP(A209, 'bedroom data'!A:A, 'bedroom data'!B:B, "Not Found")</f>
        <v>3</v>
      </c>
      <c r="D209">
        <f>_xlfn.XLOOKUP(A209, 'bathroom data'!A:A, 'bathroom data'!B:B, "Not Found")</f>
        <v>3</v>
      </c>
      <c r="E209" t="str">
        <f>_xlfn.XLOOKUP(A209, 'bedroom data'!A:A, 'bedroom data'!C:C, "Not Found")</f>
        <v>Capitol Hill</v>
      </c>
      <c r="F209" t="s">
        <v>488</v>
      </c>
      <c r="G209" t="s">
        <v>478</v>
      </c>
      <c r="H209" t="s">
        <v>478</v>
      </c>
      <c r="I209">
        <v>167.5</v>
      </c>
      <c r="J209" t="s">
        <v>493</v>
      </c>
      <c r="K209" t="s">
        <v>13</v>
      </c>
      <c r="L209" t="s">
        <v>13</v>
      </c>
    </row>
    <row r="210" spans="1:12" x14ac:dyDescent="0.5">
      <c r="A210" t="s">
        <v>487</v>
      </c>
      <c r="B210">
        <f>_xlfn.XLOOKUP(A210, 'sqft data'!A:A, 'sqft data'!C:C, "Not Found")</f>
        <v>1300</v>
      </c>
      <c r="C210">
        <f>_xlfn.XLOOKUP(A210, 'bedroom data'!A:A, 'bedroom data'!B:B, "Not Found")</f>
        <v>3</v>
      </c>
      <c r="D210">
        <f>_xlfn.XLOOKUP(A210, 'bathroom data'!A:A, 'bathroom data'!B:B, "Not Found")</f>
        <v>3</v>
      </c>
      <c r="E210" t="str">
        <f>_xlfn.XLOOKUP(A210, 'bedroom data'!A:A, 'bedroom data'!C:C, "Not Found")</f>
        <v>Capitol Hill</v>
      </c>
      <c r="F210" t="s">
        <v>488</v>
      </c>
      <c r="G210" t="s">
        <v>478</v>
      </c>
      <c r="H210" t="s">
        <v>174</v>
      </c>
      <c r="I210">
        <v>197.88</v>
      </c>
      <c r="J210" t="s">
        <v>481</v>
      </c>
      <c r="K210" t="s">
        <v>36</v>
      </c>
      <c r="L210" t="s">
        <v>13</v>
      </c>
    </row>
    <row r="211" spans="1:12" x14ac:dyDescent="0.5">
      <c r="A211" t="s">
        <v>487</v>
      </c>
      <c r="B211">
        <f>_xlfn.XLOOKUP(A211, 'sqft data'!A:A, 'sqft data'!C:C, "Not Found")</f>
        <v>1300</v>
      </c>
      <c r="C211">
        <f>_xlfn.XLOOKUP(A211, 'bedroom data'!A:A, 'bedroom data'!B:B, "Not Found")</f>
        <v>3</v>
      </c>
      <c r="D211">
        <f>_xlfn.XLOOKUP(A211, 'bathroom data'!A:A, 'bathroom data'!B:B, "Not Found")</f>
        <v>3</v>
      </c>
      <c r="E211" t="str">
        <f>_xlfn.XLOOKUP(A211, 'bedroom data'!A:A, 'bedroom data'!C:C, "Not Found")</f>
        <v>Capitol Hill</v>
      </c>
      <c r="F211" t="s">
        <v>488</v>
      </c>
      <c r="G211" t="s">
        <v>228</v>
      </c>
      <c r="H211" t="s">
        <v>278</v>
      </c>
      <c r="I211">
        <v>215</v>
      </c>
      <c r="J211" t="s">
        <v>494</v>
      </c>
      <c r="K211" t="s">
        <v>13</v>
      </c>
      <c r="L211" t="s">
        <v>13</v>
      </c>
    </row>
    <row r="212" spans="1:12" x14ac:dyDescent="0.5">
      <c r="A212" t="s">
        <v>495</v>
      </c>
      <c r="B212">
        <f>_xlfn.XLOOKUP(A212, 'sqft data'!A:A, 'sqft data'!C:C, "Not Found")</f>
        <v>1300</v>
      </c>
      <c r="C212">
        <f>_xlfn.XLOOKUP(A212, 'bedroom data'!A:A, 'bedroom data'!B:B, "Not Found")</f>
        <v>3</v>
      </c>
      <c r="D212">
        <f>_xlfn.XLOOKUP(A212, 'bathroom data'!A:A, 'bathroom data'!B:B, "Not Found")</f>
        <v>2</v>
      </c>
      <c r="E212" t="str">
        <f>_xlfn.XLOOKUP(A212, 'bedroom data'!A:A, 'bedroom data'!C:C, "Not Found")</f>
        <v>Capitol Hill</v>
      </c>
      <c r="F212" t="s">
        <v>488</v>
      </c>
      <c r="G212" t="s">
        <v>281</v>
      </c>
      <c r="H212" t="s">
        <v>496</v>
      </c>
      <c r="I212">
        <v>229</v>
      </c>
      <c r="J212" t="s">
        <v>382</v>
      </c>
      <c r="K212" t="s">
        <v>13</v>
      </c>
      <c r="L212" t="s">
        <v>13</v>
      </c>
    </row>
    <row r="213" spans="1:12" x14ac:dyDescent="0.5">
      <c r="A213" t="s">
        <v>495</v>
      </c>
      <c r="B213">
        <f>_xlfn.XLOOKUP(A213, 'sqft data'!A:A, 'sqft data'!C:C, "Not Found")</f>
        <v>1300</v>
      </c>
      <c r="C213">
        <f>_xlfn.XLOOKUP(A213, 'bedroom data'!A:A, 'bedroom data'!B:B, "Not Found")</f>
        <v>3</v>
      </c>
      <c r="D213">
        <f>_xlfn.XLOOKUP(A213, 'bathroom data'!A:A, 'bathroom data'!B:B, "Not Found")</f>
        <v>2</v>
      </c>
      <c r="E213" t="str">
        <f>_xlfn.XLOOKUP(A213, 'bedroom data'!A:A, 'bedroom data'!C:C, "Not Found")</f>
        <v>Capitol Hill</v>
      </c>
      <c r="F213" t="s">
        <v>488</v>
      </c>
      <c r="G213" t="s">
        <v>493</v>
      </c>
      <c r="H213" t="s">
        <v>269</v>
      </c>
      <c r="I213">
        <v>0</v>
      </c>
      <c r="J213" t="s">
        <v>493</v>
      </c>
      <c r="K213" t="s">
        <v>13</v>
      </c>
      <c r="L213" t="s">
        <v>13</v>
      </c>
    </row>
    <row r="214" spans="1:12" x14ac:dyDescent="0.5">
      <c r="A214" t="s">
        <v>495</v>
      </c>
      <c r="B214">
        <f>_xlfn.XLOOKUP(A214, 'sqft data'!A:A, 'sqft data'!C:C, "Not Found")</f>
        <v>1300</v>
      </c>
      <c r="C214">
        <f>_xlfn.XLOOKUP(A214, 'bedroom data'!A:A, 'bedroom data'!B:B, "Not Found")</f>
        <v>3</v>
      </c>
      <c r="D214">
        <f>_xlfn.XLOOKUP(A214, 'bathroom data'!A:A, 'bathroom data'!B:B, "Not Found")</f>
        <v>2</v>
      </c>
      <c r="E214" t="str">
        <f>_xlfn.XLOOKUP(A214, 'bedroom data'!A:A, 'bedroom data'!C:C, "Not Found")</f>
        <v>Capitol Hill</v>
      </c>
      <c r="F214" t="s">
        <v>488</v>
      </c>
      <c r="G214" t="s">
        <v>497</v>
      </c>
      <c r="H214" t="s">
        <v>498</v>
      </c>
      <c r="I214">
        <v>0</v>
      </c>
      <c r="J214" t="s">
        <v>499</v>
      </c>
      <c r="K214" t="s">
        <v>13</v>
      </c>
      <c r="L214" t="s">
        <v>13</v>
      </c>
    </row>
    <row r="215" spans="1:12" x14ac:dyDescent="0.5">
      <c r="A215" t="s">
        <v>495</v>
      </c>
      <c r="B215">
        <f>_xlfn.XLOOKUP(A215, 'sqft data'!A:A, 'sqft data'!C:C, "Not Found")</f>
        <v>1300</v>
      </c>
      <c r="C215">
        <f>_xlfn.XLOOKUP(A215, 'bedroom data'!A:A, 'bedroom data'!B:B, "Not Found")</f>
        <v>3</v>
      </c>
      <c r="D215">
        <f>_xlfn.XLOOKUP(A215, 'bathroom data'!A:A, 'bathroom data'!B:B, "Not Found")</f>
        <v>2</v>
      </c>
      <c r="E215" t="str">
        <f>_xlfn.XLOOKUP(A215, 'bedroom data'!A:A, 'bedroom data'!C:C, "Not Found")</f>
        <v>Capitol Hill</v>
      </c>
      <c r="F215" t="s">
        <v>488</v>
      </c>
      <c r="G215" t="s">
        <v>500</v>
      </c>
      <c r="H215" t="s">
        <v>501</v>
      </c>
      <c r="I215">
        <v>205</v>
      </c>
      <c r="J215" t="s">
        <v>272</v>
      </c>
      <c r="K215" t="s">
        <v>13</v>
      </c>
      <c r="L215" t="s">
        <v>13</v>
      </c>
    </row>
    <row r="216" spans="1:12" x14ac:dyDescent="0.5">
      <c r="A216" t="s">
        <v>502</v>
      </c>
      <c r="B216">
        <f>_xlfn.XLOOKUP(A216, 'sqft data'!A:A, 'sqft data'!C:C, "Not Found")</f>
        <v>2400</v>
      </c>
      <c r="C216">
        <f>_xlfn.XLOOKUP(A216, 'bedroom data'!A:A, 'bedroom data'!B:B, "Not Found")</f>
        <v>2</v>
      </c>
      <c r="D216">
        <f>_xlfn.XLOOKUP(A216, 'bathroom data'!A:A, 'bathroom data'!B:B, "Not Found")</f>
        <v>3</v>
      </c>
      <c r="E216" t="str">
        <f>_xlfn.XLOOKUP(A216, 'bedroom data'!A:A, 'bedroom data'!C:C, "Not Found")</f>
        <v>Arlington</v>
      </c>
      <c r="F216" t="s">
        <v>503</v>
      </c>
      <c r="G216" t="s">
        <v>285</v>
      </c>
      <c r="H216" t="s">
        <v>101</v>
      </c>
      <c r="I216">
        <v>0</v>
      </c>
      <c r="J216" t="s">
        <v>285</v>
      </c>
      <c r="K216" t="s">
        <v>13</v>
      </c>
      <c r="L216" t="s">
        <v>13</v>
      </c>
    </row>
    <row r="217" spans="1:12" x14ac:dyDescent="0.5">
      <c r="A217" t="s">
        <v>502</v>
      </c>
      <c r="B217">
        <f>_xlfn.XLOOKUP(A217, 'sqft data'!A:A, 'sqft data'!C:C, "Not Found")</f>
        <v>2400</v>
      </c>
      <c r="C217">
        <f>_xlfn.XLOOKUP(A217, 'bedroom data'!A:A, 'bedroom data'!B:B, "Not Found")</f>
        <v>2</v>
      </c>
      <c r="D217">
        <f>_xlfn.XLOOKUP(A217, 'bathroom data'!A:A, 'bathroom data'!B:B, "Not Found")</f>
        <v>3</v>
      </c>
      <c r="E217" t="str">
        <f>_xlfn.XLOOKUP(A217, 'bedroom data'!A:A, 'bedroom data'!C:C, "Not Found")</f>
        <v>Arlington</v>
      </c>
      <c r="F217" t="s">
        <v>503</v>
      </c>
      <c r="G217" t="s">
        <v>504</v>
      </c>
      <c r="H217" t="s">
        <v>505</v>
      </c>
      <c r="I217">
        <v>200</v>
      </c>
      <c r="J217" t="s">
        <v>346</v>
      </c>
      <c r="K217" t="s">
        <v>36</v>
      </c>
      <c r="L217" t="s">
        <v>13</v>
      </c>
    </row>
    <row r="218" spans="1:12" x14ac:dyDescent="0.5">
      <c r="A218" t="s">
        <v>506</v>
      </c>
      <c r="B218">
        <f>_xlfn.XLOOKUP(A218, 'sqft data'!A:A, 'sqft data'!C:C, "Not Found")</f>
        <v>2300</v>
      </c>
      <c r="C218">
        <f>_xlfn.XLOOKUP(A218, 'bedroom data'!A:A, 'bedroom data'!B:B, "Not Found")</f>
        <v>2</v>
      </c>
      <c r="D218">
        <f>_xlfn.XLOOKUP(A218, 'bathroom data'!A:A, 'bathroom data'!B:B, "Not Found")</f>
        <v>3</v>
      </c>
      <c r="E218" t="str">
        <f>_xlfn.XLOOKUP(A218, 'bedroom data'!A:A, 'bedroom data'!C:C, "Not Found")</f>
        <v>Southwest Waterfront</v>
      </c>
      <c r="F218" t="s">
        <v>507</v>
      </c>
      <c r="G218" t="s">
        <v>508</v>
      </c>
      <c r="H218" t="s">
        <v>509</v>
      </c>
      <c r="I218">
        <v>170</v>
      </c>
      <c r="J218" t="s">
        <v>510</v>
      </c>
      <c r="K218" t="s">
        <v>13</v>
      </c>
      <c r="L218" t="s">
        <v>13</v>
      </c>
    </row>
    <row r="219" spans="1:12" x14ac:dyDescent="0.5">
      <c r="A219" t="s">
        <v>511</v>
      </c>
      <c r="B219">
        <f>_xlfn.XLOOKUP(A219, 'sqft data'!A:A, 'sqft data'!C:C, "Not Found")</f>
        <v>600</v>
      </c>
      <c r="C219">
        <f>_xlfn.XLOOKUP(A219, 'bedroom data'!A:A, 'bedroom data'!B:B, "Not Found")</f>
        <v>1</v>
      </c>
      <c r="D219">
        <f>_xlfn.XLOOKUP(A219, 'bathroom data'!A:A, 'bathroom data'!B:B, "Not Found")</f>
        <v>1</v>
      </c>
      <c r="E219" t="str">
        <f>_xlfn.XLOOKUP(A219, 'bedroom data'!A:A, 'bedroom data'!C:C, "Not Found")</f>
        <v>Cathedral Heights</v>
      </c>
      <c r="F219" t="s">
        <v>512</v>
      </c>
      <c r="G219" t="s">
        <v>458</v>
      </c>
      <c r="H219" t="s">
        <v>458</v>
      </c>
      <c r="I219">
        <v>0</v>
      </c>
      <c r="J219" t="s">
        <v>458</v>
      </c>
      <c r="K219" t="s">
        <v>13</v>
      </c>
      <c r="L219" t="s">
        <v>13</v>
      </c>
    </row>
    <row r="220" spans="1:12" x14ac:dyDescent="0.5">
      <c r="A220" t="s">
        <v>513</v>
      </c>
      <c r="B220">
        <f>_xlfn.XLOOKUP(A220, 'sqft data'!A:A, 'sqft data'!C:C, "Not Found")</f>
        <v>450</v>
      </c>
      <c r="C220">
        <f>_xlfn.XLOOKUP(A220, 'bedroom data'!A:A, 'bedroom data'!B:B, "Not Found")</f>
        <v>1</v>
      </c>
      <c r="D220">
        <f>_xlfn.XLOOKUP(A220, 'bathroom data'!A:A, 'bathroom data'!B:B, "Not Found")</f>
        <v>1</v>
      </c>
      <c r="E220" t="str">
        <f>_xlfn.XLOOKUP(A220, 'bedroom data'!A:A, 'bedroom data'!C:C, "Not Found")</f>
        <v>Georgetown</v>
      </c>
      <c r="F220" t="s">
        <v>514</v>
      </c>
      <c r="G220" t="s">
        <v>369</v>
      </c>
      <c r="H220" t="s">
        <v>291</v>
      </c>
      <c r="I220">
        <v>135</v>
      </c>
      <c r="J220" t="s">
        <v>181</v>
      </c>
      <c r="K220" t="s">
        <v>36</v>
      </c>
      <c r="L220" t="s">
        <v>36</v>
      </c>
    </row>
    <row r="221" spans="1:12" x14ac:dyDescent="0.5">
      <c r="A221" t="s">
        <v>513</v>
      </c>
      <c r="B221">
        <f>_xlfn.XLOOKUP(A221, 'sqft data'!A:A, 'sqft data'!C:C, "Not Found")</f>
        <v>450</v>
      </c>
      <c r="C221">
        <f>_xlfn.XLOOKUP(A221, 'bedroom data'!A:A, 'bedroom data'!B:B, "Not Found")</f>
        <v>1</v>
      </c>
      <c r="D221">
        <f>_xlfn.XLOOKUP(A221, 'bathroom data'!A:A, 'bathroom data'!B:B, "Not Found")</f>
        <v>1</v>
      </c>
      <c r="E221" t="str">
        <f>_xlfn.XLOOKUP(A221, 'bedroom data'!A:A, 'bedroom data'!C:C, "Not Found")</f>
        <v>Georgetown</v>
      </c>
      <c r="F221" t="s">
        <v>514</v>
      </c>
      <c r="G221" t="s">
        <v>17</v>
      </c>
      <c r="H221" t="s">
        <v>83</v>
      </c>
      <c r="I221">
        <v>0</v>
      </c>
      <c r="J221" t="s">
        <v>382</v>
      </c>
      <c r="K221" t="s">
        <v>13</v>
      </c>
      <c r="L221" t="s">
        <v>13</v>
      </c>
    </row>
    <row r="222" spans="1:12" x14ac:dyDescent="0.5">
      <c r="A222" t="s">
        <v>515</v>
      </c>
      <c r="B222">
        <f>_xlfn.XLOOKUP(A222, 'sqft data'!A:A, 'sqft data'!C:C, "Not Found")</f>
        <v>1700</v>
      </c>
      <c r="C222">
        <f>_xlfn.XLOOKUP(A222, 'bedroom data'!A:A, 'bedroom data'!B:B, "Not Found")</f>
        <v>3</v>
      </c>
      <c r="D222">
        <f>_xlfn.XLOOKUP(A222, 'bathroom data'!A:A, 'bathroom data'!B:B, "Not Found")</f>
        <v>3.5</v>
      </c>
      <c r="E222" t="str">
        <f>_xlfn.XLOOKUP(A222, 'bedroom data'!A:A, 'bedroom data'!C:C, "Not Found")</f>
        <v>Georgetown</v>
      </c>
      <c r="F222" t="s">
        <v>516</v>
      </c>
      <c r="G222" t="s">
        <v>215</v>
      </c>
      <c r="H222" t="s">
        <v>302</v>
      </c>
      <c r="I222">
        <v>240</v>
      </c>
      <c r="J222" t="s">
        <v>360</v>
      </c>
      <c r="K222" t="s">
        <v>13</v>
      </c>
      <c r="L222" t="s">
        <v>13</v>
      </c>
    </row>
    <row r="223" spans="1:12" x14ac:dyDescent="0.5">
      <c r="A223" t="s">
        <v>515</v>
      </c>
      <c r="B223">
        <f>_xlfn.XLOOKUP(A223, 'sqft data'!A:A, 'sqft data'!C:C, "Not Found")</f>
        <v>1700</v>
      </c>
      <c r="C223">
        <f>_xlfn.XLOOKUP(A223, 'bedroom data'!A:A, 'bedroom data'!B:B, "Not Found")</f>
        <v>3</v>
      </c>
      <c r="D223">
        <f>_xlfn.XLOOKUP(A223, 'bathroom data'!A:A, 'bathroom data'!B:B, "Not Found")</f>
        <v>3.5</v>
      </c>
      <c r="E223" t="str">
        <f>_xlfn.XLOOKUP(A223, 'bedroom data'!A:A, 'bedroom data'!C:C, "Not Found")</f>
        <v>Georgetown</v>
      </c>
      <c r="F223" t="s">
        <v>516</v>
      </c>
      <c r="G223" t="s">
        <v>379</v>
      </c>
      <c r="H223" t="s">
        <v>391</v>
      </c>
      <c r="I223">
        <v>245</v>
      </c>
      <c r="J223" t="s">
        <v>302</v>
      </c>
      <c r="K223" t="s">
        <v>13</v>
      </c>
      <c r="L223" t="s">
        <v>13</v>
      </c>
    </row>
    <row r="224" spans="1:12" x14ac:dyDescent="0.5">
      <c r="A224" t="s">
        <v>515</v>
      </c>
      <c r="B224">
        <f>_xlfn.XLOOKUP(A224, 'sqft data'!A:A, 'sqft data'!C:C, "Not Found")</f>
        <v>1700</v>
      </c>
      <c r="C224">
        <f>_xlfn.XLOOKUP(A224, 'bedroom data'!A:A, 'bedroom data'!B:B, "Not Found")</f>
        <v>3</v>
      </c>
      <c r="D224">
        <f>_xlfn.XLOOKUP(A224, 'bathroom data'!A:A, 'bathroom data'!B:B, "Not Found")</f>
        <v>3.5</v>
      </c>
      <c r="E224" t="str">
        <f>_xlfn.XLOOKUP(A224, 'bedroom data'!A:A, 'bedroom data'!C:C, "Not Found")</f>
        <v>Georgetown</v>
      </c>
      <c r="F224" t="s">
        <v>516</v>
      </c>
      <c r="G224" t="s">
        <v>250</v>
      </c>
      <c r="H224" t="s">
        <v>231</v>
      </c>
      <c r="I224">
        <v>220</v>
      </c>
      <c r="J224" t="s">
        <v>517</v>
      </c>
      <c r="K224" t="s">
        <v>13</v>
      </c>
      <c r="L224" t="s">
        <v>13</v>
      </c>
    </row>
    <row r="225" spans="1:12" x14ac:dyDescent="0.5">
      <c r="A225" t="s">
        <v>515</v>
      </c>
      <c r="B225">
        <f>_xlfn.XLOOKUP(A225, 'sqft data'!A:A, 'sqft data'!C:C, "Not Found")</f>
        <v>1700</v>
      </c>
      <c r="C225">
        <f>_xlfn.XLOOKUP(A225, 'bedroom data'!A:A, 'bedroom data'!B:B, "Not Found")</f>
        <v>3</v>
      </c>
      <c r="D225">
        <f>_xlfn.XLOOKUP(A225, 'bathroom data'!A:A, 'bathroom data'!B:B, "Not Found")</f>
        <v>3.5</v>
      </c>
      <c r="E225" t="str">
        <f>_xlfn.XLOOKUP(A225, 'bedroom data'!A:A, 'bedroom data'!C:C, "Not Found")</f>
        <v>Georgetown</v>
      </c>
      <c r="F225" t="s">
        <v>516</v>
      </c>
      <c r="G225" t="s">
        <v>518</v>
      </c>
      <c r="H225" t="s">
        <v>519</v>
      </c>
      <c r="I225">
        <v>0</v>
      </c>
      <c r="J225" t="s">
        <v>221</v>
      </c>
      <c r="K225" t="s">
        <v>13</v>
      </c>
      <c r="L225" t="s">
        <v>13</v>
      </c>
    </row>
    <row r="226" spans="1:12" x14ac:dyDescent="0.5">
      <c r="A226" t="s">
        <v>520</v>
      </c>
      <c r="B226">
        <f>_xlfn.XLOOKUP(A226, 'sqft data'!A:A, 'sqft data'!C:C, "Not Found")</f>
        <v>5120</v>
      </c>
      <c r="C226">
        <f>_xlfn.XLOOKUP(A226, 'bedroom data'!A:A, 'bedroom data'!B:B, "Not Found")</f>
        <v>4</v>
      </c>
      <c r="D226">
        <f>_xlfn.XLOOKUP(A226, 'bathroom data'!A:A, 'bathroom data'!B:B, "Not Found")</f>
        <v>6</v>
      </c>
      <c r="E226" t="str">
        <f>_xlfn.XLOOKUP(A226, 'bedroom data'!A:A, 'bedroom data'!C:C, "Not Found")</f>
        <v>Georgetown</v>
      </c>
      <c r="F226" t="s">
        <v>521</v>
      </c>
      <c r="G226" t="s">
        <v>522</v>
      </c>
      <c r="H226" t="s">
        <v>523</v>
      </c>
      <c r="I226">
        <v>0</v>
      </c>
      <c r="J226" t="s">
        <v>350</v>
      </c>
      <c r="K226" t="s">
        <v>13</v>
      </c>
      <c r="L226" t="s">
        <v>13</v>
      </c>
    </row>
    <row r="227" spans="1:12" x14ac:dyDescent="0.5">
      <c r="A227" t="s">
        <v>524</v>
      </c>
      <c r="B227">
        <f>_xlfn.XLOOKUP(A227, 'sqft data'!A:A, 'sqft data'!C:C, "Not Found")</f>
        <v>1452</v>
      </c>
      <c r="C227">
        <f>_xlfn.XLOOKUP(A227, 'bedroom data'!A:A, 'bedroom data'!B:B, "Not Found")</f>
        <v>3</v>
      </c>
      <c r="D227">
        <f>_xlfn.XLOOKUP(A227, 'bathroom data'!A:A, 'bathroom data'!B:B, "Not Found")</f>
        <v>3.5</v>
      </c>
      <c r="E227" t="str">
        <f>_xlfn.XLOOKUP(A227, 'bedroom data'!A:A, 'bedroom data'!C:C, "Not Found")</f>
        <v>Georgetown</v>
      </c>
      <c r="F227" t="s">
        <v>521</v>
      </c>
      <c r="G227" t="s">
        <v>121</v>
      </c>
      <c r="H227" t="s">
        <v>525</v>
      </c>
      <c r="I227">
        <v>0</v>
      </c>
      <c r="J227" t="s">
        <v>121</v>
      </c>
      <c r="K227" t="s">
        <v>13</v>
      </c>
      <c r="L227" t="s">
        <v>13</v>
      </c>
    </row>
    <row r="228" spans="1:12" x14ac:dyDescent="0.5">
      <c r="A228" t="s">
        <v>526</v>
      </c>
      <c r="B228">
        <f>_xlfn.XLOOKUP(A228, 'sqft data'!A:A, 'sqft data'!C:C, "Not Found")</f>
        <v>1200</v>
      </c>
      <c r="C228">
        <f>_xlfn.XLOOKUP(A228, 'bedroom data'!A:A, 'bedroom data'!B:B, "Not Found")</f>
        <v>2</v>
      </c>
      <c r="D228">
        <f>_xlfn.XLOOKUP(A228, 'bathroom data'!A:A, 'bathroom data'!B:B, "Not Found")</f>
        <v>2</v>
      </c>
      <c r="E228" t="str">
        <f>_xlfn.XLOOKUP(A228, 'bedroom data'!A:A, 'bedroom data'!C:C, "Not Found")</f>
        <v>Georgetown</v>
      </c>
      <c r="F228" t="s">
        <v>527</v>
      </c>
      <c r="G228" t="s">
        <v>528</v>
      </c>
      <c r="H228" t="s">
        <v>133</v>
      </c>
      <c r="I228">
        <v>140</v>
      </c>
      <c r="J228" t="s">
        <v>529</v>
      </c>
      <c r="K228" t="s">
        <v>13</v>
      </c>
      <c r="L228" t="s">
        <v>13</v>
      </c>
    </row>
    <row r="229" spans="1:12" x14ac:dyDescent="0.5">
      <c r="A229" t="s">
        <v>526</v>
      </c>
      <c r="B229">
        <f>_xlfn.XLOOKUP(A229, 'sqft data'!A:A, 'sqft data'!C:C, "Not Found")</f>
        <v>1200</v>
      </c>
      <c r="C229">
        <f>_xlfn.XLOOKUP(A229, 'bedroom data'!A:A, 'bedroom data'!B:B, "Not Found")</f>
        <v>2</v>
      </c>
      <c r="D229">
        <f>_xlfn.XLOOKUP(A229, 'bathroom data'!A:A, 'bathroom data'!B:B, "Not Found")</f>
        <v>2</v>
      </c>
      <c r="E229" t="str">
        <f>_xlfn.XLOOKUP(A229, 'bedroom data'!A:A, 'bedroom data'!C:C, "Not Found")</f>
        <v>Georgetown</v>
      </c>
      <c r="F229" t="s">
        <v>527</v>
      </c>
      <c r="G229" t="s">
        <v>133</v>
      </c>
      <c r="H229" t="s">
        <v>204</v>
      </c>
      <c r="I229">
        <v>147</v>
      </c>
      <c r="J229" t="s">
        <v>338</v>
      </c>
      <c r="K229" t="s">
        <v>13</v>
      </c>
      <c r="L229" t="s">
        <v>13</v>
      </c>
    </row>
    <row r="230" spans="1:12" x14ac:dyDescent="0.5">
      <c r="A230" t="s">
        <v>530</v>
      </c>
      <c r="B230">
        <f>_xlfn.XLOOKUP(A230, 'sqft data'!A:A, 'sqft data'!C:C, "Not Found")</f>
        <v>1100</v>
      </c>
      <c r="C230">
        <f>_xlfn.XLOOKUP(A230, 'bedroom data'!A:A, 'bedroom data'!B:B, "Not Found")</f>
        <v>2</v>
      </c>
      <c r="D230">
        <f>_xlfn.XLOOKUP(A230, 'bathroom data'!A:A, 'bathroom data'!B:B, "Not Found")</f>
        <v>2</v>
      </c>
      <c r="E230" t="str">
        <f>_xlfn.XLOOKUP(A230, 'bedroom data'!A:A, 'bedroom data'!C:C, "Not Found")</f>
        <v>Georgetown</v>
      </c>
      <c r="F230" t="s">
        <v>308</v>
      </c>
      <c r="G230" t="s">
        <v>531</v>
      </c>
      <c r="H230" t="s">
        <v>532</v>
      </c>
      <c r="I230">
        <v>184</v>
      </c>
      <c r="J230" t="s">
        <v>531</v>
      </c>
      <c r="K230" t="s">
        <v>13</v>
      </c>
      <c r="L230" t="s">
        <v>36</v>
      </c>
    </row>
    <row r="231" spans="1:12" x14ac:dyDescent="0.5">
      <c r="A231" t="s">
        <v>530</v>
      </c>
      <c r="B231">
        <f>_xlfn.XLOOKUP(A231, 'sqft data'!A:A, 'sqft data'!C:C, "Not Found")</f>
        <v>1100</v>
      </c>
      <c r="C231">
        <f>_xlfn.XLOOKUP(A231, 'bedroom data'!A:A, 'bedroom data'!B:B, "Not Found")</f>
        <v>2</v>
      </c>
      <c r="D231">
        <f>_xlfn.XLOOKUP(A231, 'bathroom data'!A:A, 'bathroom data'!B:B, "Not Found")</f>
        <v>2</v>
      </c>
      <c r="E231" t="str">
        <f>_xlfn.XLOOKUP(A231, 'bedroom data'!A:A, 'bedroom data'!C:C, "Not Found")</f>
        <v>Georgetown</v>
      </c>
      <c r="F231" t="s">
        <v>308</v>
      </c>
      <c r="G231" t="s">
        <v>311</v>
      </c>
      <c r="H231" t="s">
        <v>104</v>
      </c>
      <c r="I231">
        <v>184</v>
      </c>
      <c r="J231" t="s">
        <v>173</v>
      </c>
      <c r="K231" t="s">
        <v>36</v>
      </c>
      <c r="L231" t="s">
        <v>36</v>
      </c>
    </row>
    <row r="232" spans="1:12" x14ac:dyDescent="0.5">
      <c r="A232" t="s">
        <v>530</v>
      </c>
      <c r="B232">
        <f>_xlfn.XLOOKUP(A232, 'sqft data'!A:A, 'sqft data'!C:C, "Not Found")</f>
        <v>1100</v>
      </c>
      <c r="C232">
        <f>_xlfn.XLOOKUP(A232, 'bedroom data'!A:A, 'bedroom data'!B:B, "Not Found")</f>
        <v>2</v>
      </c>
      <c r="D232">
        <f>_xlfn.XLOOKUP(A232, 'bathroom data'!A:A, 'bathroom data'!B:B, "Not Found")</f>
        <v>2</v>
      </c>
      <c r="E232" t="str">
        <f>_xlfn.XLOOKUP(A232, 'bedroom data'!A:A, 'bedroom data'!C:C, "Not Found")</f>
        <v>Georgetown</v>
      </c>
      <c r="F232" t="s">
        <v>308</v>
      </c>
      <c r="G232" t="s">
        <v>128</v>
      </c>
      <c r="H232" t="s">
        <v>253</v>
      </c>
      <c r="I232">
        <v>184</v>
      </c>
      <c r="J232" t="s">
        <v>533</v>
      </c>
      <c r="K232" t="s">
        <v>36</v>
      </c>
      <c r="L232" t="s">
        <v>13</v>
      </c>
    </row>
    <row r="233" spans="1:12" x14ac:dyDescent="0.5">
      <c r="A233" t="s">
        <v>530</v>
      </c>
      <c r="B233">
        <f>_xlfn.XLOOKUP(A233, 'sqft data'!A:A, 'sqft data'!C:C, "Not Found")</f>
        <v>1100</v>
      </c>
      <c r="C233">
        <f>_xlfn.XLOOKUP(A233, 'bedroom data'!A:A, 'bedroom data'!B:B, "Not Found")</f>
        <v>2</v>
      </c>
      <c r="D233">
        <f>_xlfn.XLOOKUP(A233, 'bathroom data'!A:A, 'bathroom data'!B:B, "Not Found")</f>
        <v>2</v>
      </c>
      <c r="E233" t="str">
        <f>_xlfn.XLOOKUP(A233, 'bedroom data'!A:A, 'bedroom data'!C:C, "Not Found")</f>
        <v>Georgetown</v>
      </c>
      <c r="F233" t="s">
        <v>308</v>
      </c>
      <c r="G233" t="s">
        <v>534</v>
      </c>
      <c r="H233" t="s">
        <v>368</v>
      </c>
      <c r="I233">
        <v>184</v>
      </c>
      <c r="J233" t="s">
        <v>535</v>
      </c>
      <c r="K233" t="s">
        <v>36</v>
      </c>
      <c r="L233" t="s">
        <v>36</v>
      </c>
    </row>
    <row r="234" spans="1:12" x14ac:dyDescent="0.5">
      <c r="A234" t="s">
        <v>536</v>
      </c>
      <c r="B234" t="str">
        <f>_xlfn.XLOOKUP(A234, 'sqft data'!A:A, 'sqft data'!C:C, "Not Found")</f>
        <v>Not Found</v>
      </c>
      <c r="C234">
        <f>_xlfn.XLOOKUP(A234, 'bedroom data'!A:A, 'bedroom data'!B:B, "Not Found")</f>
        <v>2</v>
      </c>
      <c r="D234">
        <f>_xlfn.XLOOKUP(A234, 'bathroom data'!A:A, 'bathroom data'!B:B, "Not Found")</f>
        <v>2</v>
      </c>
      <c r="E234" t="str">
        <f>_xlfn.XLOOKUP(A234, 'bedroom data'!A:A, 'bedroom data'!C:C, "Not Found")</f>
        <v>Georgetown</v>
      </c>
      <c r="F234" t="s">
        <v>507</v>
      </c>
      <c r="G234" t="s">
        <v>72</v>
      </c>
      <c r="H234" t="s">
        <v>25</v>
      </c>
      <c r="I234">
        <v>0</v>
      </c>
      <c r="J234" t="s">
        <v>72</v>
      </c>
      <c r="K234" t="s">
        <v>13</v>
      </c>
      <c r="L234" t="s">
        <v>13</v>
      </c>
    </row>
    <row r="235" spans="1:12" x14ac:dyDescent="0.5">
      <c r="A235" t="s">
        <v>536</v>
      </c>
      <c r="B235" t="str">
        <f>_xlfn.XLOOKUP(A235, 'sqft data'!A:A, 'sqft data'!C:C, "Not Found")</f>
        <v>Not Found</v>
      </c>
      <c r="C235">
        <f>_xlfn.XLOOKUP(A235, 'bedroom data'!A:A, 'bedroom data'!B:B, "Not Found")</f>
        <v>2</v>
      </c>
      <c r="D235">
        <f>_xlfn.XLOOKUP(A235, 'bathroom data'!A:A, 'bathroom data'!B:B, "Not Found")</f>
        <v>2</v>
      </c>
      <c r="E235" t="str">
        <f>_xlfn.XLOOKUP(A235, 'bedroom data'!A:A, 'bedroom data'!C:C, "Not Found")</f>
        <v>Georgetown</v>
      </c>
      <c r="F235" t="s">
        <v>507</v>
      </c>
      <c r="G235" t="s">
        <v>517</v>
      </c>
      <c r="H235" t="s">
        <v>258</v>
      </c>
      <c r="I235">
        <v>212</v>
      </c>
      <c r="J235" t="s">
        <v>537</v>
      </c>
      <c r="K235" t="s">
        <v>36</v>
      </c>
      <c r="L235" t="s">
        <v>13</v>
      </c>
    </row>
    <row r="236" spans="1:12" x14ac:dyDescent="0.5">
      <c r="A236" t="s">
        <v>536</v>
      </c>
      <c r="B236" t="str">
        <f>_xlfn.XLOOKUP(A236, 'sqft data'!A:A, 'sqft data'!C:C, "Not Found")</f>
        <v>Not Found</v>
      </c>
      <c r="C236">
        <f>_xlfn.XLOOKUP(A236, 'bedroom data'!A:A, 'bedroom data'!B:B, "Not Found")</f>
        <v>2</v>
      </c>
      <c r="D236">
        <f>_xlfn.XLOOKUP(A236, 'bathroom data'!A:A, 'bathroom data'!B:B, "Not Found")</f>
        <v>2</v>
      </c>
      <c r="E236" t="str">
        <f>_xlfn.XLOOKUP(A236, 'bedroom data'!A:A, 'bedroom data'!C:C, "Not Found")</f>
        <v>Georgetown</v>
      </c>
      <c r="F236" t="s">
        <v>507</v>
      </c>
      <c r="G236" t="s">
        <v>173</v>
      </c>
      <c r="H236" t="s">
        <v>75</v>
      </c>
      <c r="I236">
        <v>0</v>
      </c>
      <c r="J236" t="s">
        <v>538</v>
      </c>
      <c r="K236" t="s">
        <v>13</v>
      </c>
      <c r="L236" t="s">
        <v>13</v>
      </c>
    </row>
    <row r="237" spans="1:12" x14ac:dyDescent="0.5">
      <c r="A237" t="s">
        <v>536</v>
      </c>
      <c r="B237" t="str">
        <f>_xlfn.XLOOKUP(A237, 'sqft data'!A:A, 'sqft data'!C:C, "Not Found")</f>
        <v>Not Found</v>
      </c>
      <c r="C237">
        <f>_xlfn.XLOOKUP(A237, 'bedroom data'!A:A, 'bedroom data'!B:B, "Not Found")</f>
        <v>2</v>
      </c>
      <c r="D237">
        <f>_xlfn.XLOOKUP(A237, 'bathroom data'!A:A, 'bathroom data'!B:B, "Not Found")</f>
        <v>2</v>
      </c>
      <c r="E237" t="str">
        <f>_xlfn.XLOOKUP(A237, 'bedroom data'!A:A, 'bedroom data'!C:C, "Not Found")</f>
        <v>Georgetown</v>
      </c>
      <c r="F237" t="s">
        <v>507</v>
      </c>
      <c r="G237" t="s">
        <v>179</v>
      </c>
      <c r="H237" t="s">
        <v>539</v>
      </c>
      <c r="I237">
        <v>181.63</v>
      </c>
      <c r="J237" t="s">
        <v>90</v>
      </c>
      <c r="K237" t="s">
        <v>36</v>
      </c>
      <c r="L237" t="s">
        <v>13</v>
      </c>
    </row>
    <row r="238" spans="1:12" x14ac:dyDescent="0.5">
      <c r="A238" t="s">
        <v>536</v>
      </c>
      <c r="B238" t="str">
        <f>_xlfn.XLOOKUP(A238, 'sqft data'!A:A, 'sqft data'!C:C, "Not Found")</f>
        <v>Not Found</v>
      </c>
      <c r="C238">
        <f>_xlfn.XLOOKUP(A238, 'bedroom data'!A:A, 'bedroom data'!B:B, "Not Found")</f>
        <v>2</v>
      </c>
      <c r="D238">
        <f>_xlfn.XLOOKUP(A238, 'bathroom data'!A:A, 'bathroom data'!B:B, "Not Found")</f>
        <v>2</v>
      </c>
      <c r="E238" t="str">
        <f>_xlfn.XLOOKUP(A238, 'bedroom data'!A:A, 'bedroom data'!C:C, "Not Found")</f>
        <v>Georgetown</v>
      </c>
      <c r="F238" t="s">
        <v>507</v>
      </c>
      <c r="G238" t="s">
        <v>540</v>
      </c>
      <c r="H238" t="s">
        <v>541</v>
      </c>
      <c r="I238">
        <v>224</v>
      </c>
      <c r="J238" t="s">
        <v>184</v>
      </c>
      <c r="K238" t="s">
        <v>36</v>
      </c>
      <c r="L238" t="s">
        <v>13</v>
      </c>
    </row>
    <row r="239" spans="1:12" x14ac:dyDescent="0.5">
      <c r="A239" t="s">
        <v>542</v>
      </c>
      <c r="B239">
        <f>_xlfn.XLOOKUP(A239, 'sqft data'!A:A, 'sqft data'!C:C, "Not Found")</f>
        <v>576</v>
      </c>
      <c r="C239">
        <f>_xlfn.XLOOKUP(A239, 'bedroom data'!A:A, 'bedroom data'!B:B, "Not Found")</f>
        <v>1</v>
      </c>
      <c r="D239">
        <f>_xlfn.XLOOKUP(A239, 'bathroom data'!A:A, 'bathroom data'!B:B, "Not Found")</f>
        <v>1</v>
      </c>
      <c r="E239" t="str">
        <f>_xlfn.XLOOKUP(A239, 'bedroom data'!A:A, 'bedroom data'!C:C, "Not Found")</f>
        <v>Georgetown</v>
      </c>
      <c r="F239" t="s">
        <v>543</v>
      </c>
      <c r="G239" t="s">
        <v>544</v>
      </c>
      <c r="H239" t="s">
        <v>179</v>
      </c>
      <c r="I239">
        <v>120</v>
      </c>
      <c r="J239" t="s">
        <v>545</v>
      </c>
      <c r="K239" t="s">
        <v>13</v>
      </c>
      <c r="L239" t="s">
        <v>13</v>
      </c>
    </row>
    <row r="240" spans="1:12" x14ac:dyDescent="0.5">
      <c r="A240" t="s">
        <v>542</v>
      </c>
      <c r="B240">
        <f>_xlfn.XLOOKUP(A240, 'sqft data'!A:A, 'sqft data'!C:C, "Not Found")</f>
        <v>576</v>
      </c>
      <c r="C240">
        <f>_xlfn.XLOOKUP(A240, 'bedroom data'!A:A, 'bedroom data'!B:B, "Not Found")</f>
        <v>1</v>
      </c>
      <c r="D240">
        <f>_xlfn.XLOOKUP(A240, 'bathroom data'!A:A, 'bathroom data'!B:B, "Not Found")</f>
        <v>1</v>
      </c>
      <c r="E240" t="str">
        <f>_xlfn.XLOOKUP(A240, 'bedroom data'!A:A, 'bedroom data'!C:C, "Not Found")</f>
        <v>Georgetown</v>
      </c>
      <c r="F240" t="s">
        <v>543</v>
      </c>
      <c r="G240" t="s">
        <v>180</v>
      </c>
      <c r="H240" t="s">
        <v>448</v>
      </c>
      <c r="I240">
        <v>135</v>
      </c>
      <c r="J240" t="s">
        <v>546</v>
      </c>
      <c r="K240" t="s">
        <v>13</v>
      </c>
      <c r="L240" t="s">
        <v>13</v>
      </c>
    </row>
    <row r="241" spans="1:12" x14ac:dyDescent="0.5">
      <c r="A241" t="s">
        <v>542</v>
      </c>
      <c r="B241">
        <f>_xlfn.XLOOKUP(A241, 'sqft data'!A:A, 'sqft data'!C:C, "Not Found")</f>
        <v>576</v>
      </c>
      <c r="C241">
        <f>_xlfn.XLOOKUP(A241, 'bedroom data'!A:A, 'bedroom data'!B:B, "Not Found")</f>
        <v>1</v>
      </c>
      <c r="D241">
        <f>_xlfn.XLOOKUP(A241, 'bathroom data'!A:A, 'bathroom data'!B:B, "Not Found")</f>
        <v>1</v>
      </c>
      <c r="E241" t="str">
        <f>_xlfn.XLOOKUP(A241, 'bedroom data'!A:A, 'bedroom data'!C:C, "Not Found")</f>
        <v>Georgetown</v>
      </c>
      <c r="F241" t="s">
        <v>543</v>
      </c>
      <c r="G241" t="s">
        <v>547</v>
      </c>
      <c r="H241" t="s">
        <v>77</v>
      </c>
      <c r="I241">
        <v>138</v>
      </c>
      <c r="J241" t="s">
        <v>201</v>
      </c>
      <c r="K241" t="s">
        <v>13</v>
      </c>
      <c r="L241" t="s">
        <v>13</v>
      </c>
    </row>
    <row r="242" spans="1:12" x14ac:dyDescent="0.5">
      <c r="A242" t="s">
        <v>542</v>
      </c>
      <c r="B242">
        <f>_xlfn.XLOOKUP(A242, 'sqft data'!A:A, 'sqft data'!C:C, "Not Found")</f>
        <v>576</v>
      </c>
      <c r="C242">
        <f>_xlfn.XLOOKUP(A242, 'bedroom data'!A:A, 'bedroom data'!B:B, "Not Found")</f>
        <v>1</v>
      </c>
      <c r="D242">
        <f>_xlfn.XLOOKUP(A242, 'bathroom data'!A:A, 'bathroom data'!B:B, "Not Found")</f>
        <v>1</v>
      </c>
      <c r="E242" t="str">
        <f>_xlfn.XLOOKUP(A242, 'bedroom data'!A:A, 'bedroom data'!C:C, "Not Found")</f>
        <v>Georgetown</v>
      </c>
      <c r="F242" t="s">
        <v>543</v>
      </c>
      <c r="G242" t="s">
        <v>548</v>
      </c>
      <c r="H242" t="s">
        <v>518</v>
      </c>
      <c r="I242">
        <v>123</v>
      </c>
      <c r="J242" t="s">
        <v>123</v>
      </c>
      <c r="K242" t="s">
        <v>13</v>
      </c>
      <c r="L242" t="s">
        <v>36</v>
      </c>
    </row>
    <row r="243" spans="1:12" x14ac:dyDescent="0.5">
      <c r="A243" t="s">
        <v>542</v>
      </c>
      <c r="B243">
        <f>_xlfn.XLOOKUP(A243, 'sqft data'!A:A, 'sqft data'!C:C, "Not Found")</f>
        <v>576</v>
      </c>
      <c r="C243">
        <f>_xlfn.XLOOKUP(A243, 'bedroom data'!A:A, 'bedroom data'!B:B, "Not Found")</f>
        <v>1</v>
      </c>
      <c r="D243">
        <f>_xlfn.XLOOKUP(A243, 'bathroom data'!A:A, 'bathroom data'!B:B, "Not Found")</f>
        <v>1</v>
      </c>
      <c r="E243" t="str">
        <f>_xlfn.XLOOKUP(A243, 'bedroom data'!A:A, 'bedroom data'!C:C, "Not Found")</f>
        <v>Georgetown</v>
      </c>
      <c r="F243" t="s">
        <v>543</v>
      </c>
      <c r="G243" t="s">
        <v>549</v>
      </c>
      <c r="H243" t="s">
        <v>550</v>
      </c>
      <c r="I243">
        <v>123</v>
      </c>
      <c r="J243" t="s">
        <v>551</v>
      </c>
      <c r="K243" t="s">
        <v>13</v>
      </c>
      <c r="L243" t="s">
        <v>13</v>
      </c>
    </row>
    <row r="244" spans="1:12" x14ac:dyDescent="0.5">
      <c r="A244" t="s">
        <v>552</v>
      </c>
      <c r="B244">
        <f>_xlfn.XLOOKUP(A244, 'sqft data'!A:A, 'sqft data'!C:C, "Not Found")</f>
        <v>2651</v>
      </c>
      <c r="C244">
        <f>_xlfn.XLOOKUP(A244, 'bedroom data'!A:A, 'bedroom data'!B:B, "Not Found")</f>
        <v>4</v>
      </c>
      <c r="D244">
        <f>_xlfn.XLOOKUP(A244, 'bathroom data'!A:A, 'bathroom data'!B:B, "Not Found")</f>
        <v>4</v>
      </c>
      <c r="E244" t="str">
        <f>_xlfn.XLOOKUP(A244, 'bedroom data'!A:A, 'bedroom data'!C:C, "Not Found")</f>
        <v>Chevy Chase</v>
      </c>
      <c r="F244" t="s">
        <v>553</v>
      </c>
      <c r="G244" t="s">
        <v>113</v>
      </c>
      <c r="H244" t="s">
        <v>554</v>
      </c>
      <c r="I244">
        <v>0</v>
      </c>
      <c r="J244" t="s">
        <v>113</v>
      </c>
      <c r="K244" t="s">
        <v>13</v>
      </c>
      <c r="L244" t="s">
        <v>13</v>
      </c>
    </row>
    <row r="245" spans="1:12" x14ac:dyDescent="0.5">
      <c r="A245" t="s">
        <v>552</v>
      </c>
      <c r="B245">
        <f>_xlfn.XLOOKUP(A245, 'sqft data'!A:A, 'sqft data'!C:C, "Not Found")</f>
        <v>2651</v>
      </c>
      <c r="C245">
        <f>_xlfn.XLOOKUP(A245, 'bedroom data'!A:A, 'bedroom data'!B:B, "Not Found")</f>
        <v>4</v>
      </c>
      <c r="D245">
        <f>_xlfn.XLOOKUP(A245, 'bathroom data'!A:A, 'bathroom data'!B:B, "Not Found")</f>
        <v>4</v>
      </c>
      <c r="E245" t="str">
        <f>_xlfn.XLOOKUP(A245, 'bedroom data'!A:A, 'bedroom data'!C:C, "Not Found")</f>
        <v>Chevy Chase</v>
      </c>
      <c r="F245" t="s">
        <v>553</v>
      </c>
      <c r="G245" t="s">
        <v>160</v>
      </c>
      <c r="H245" t="s">
        <v>171</v>
      </c>
      <c r="I245">
        <v>230</v>
      </c>
      <c r="J245" t="s">
        <v>12</v>
      </c>
      <c r="K245" t="s">
        <v>36</v>
      </c>
      <c r="L245" t="s">
        <v>13</v>
      </c>
    </row>
    <row r="246" spans="1:12" x14ac:dyDescent="0.5">
      <c r="A246" t="s">
        <v>552</v>
      </c>
      <c r="B246">
        <f>_xlfn.XLOOKUP(A246, 'sqft data'!A:A, 'sqft data'!C:C, "Not Found")</f>
        <v>2651</v>
      </c>
      <c r="C246">
        <f>_xlfn.XLOOKUP(A246, 'bedroom data'!A:A, 'bedroom data'!B:B, "Not Found")</f>
        <v>4</v>
      </c>
      <c r="D246">
        <f>_xlfn.XLOOKUP(A246, 'bathroom data'!A:A, 'bathroom data'!B:B, "Not Found")</f>
        <v>4</v>
      </c>
      <c r="E246" t="str">
        <f>_xlfn.XLOOKUP(A246, 'bedroom data'!A:A, 'bedroom data'!C:C, "Not Found")</f>
        <v>Chevy Chase</v>
      </c>
      <c r="F246" t="s">
        <v>553</v>
      </c>
      <c r="G246" t="s">
        <v>432</v>
      </c>
      <c r="H246" t="s">
        <v>444</v>
      </c>
      <c r="I246">
        <v>0</v>
      </c>
      <c r="J246" t="s">
        <v>432</v>
      </c>
      <c r="K246" t="s">
        <v>13</v>
      </c>
      <c r="L246" t="s">
        <v>13</v>
      </c>
    </row>
    <row r="247" spans="1:12" x14ac:dyDescent="0.5">
      <c r="A247" t="s">
        <v>552</v>
      </c>
      <c r="B247">
        <f>_xlfn.XLOOKUP(A247, 'sqft data'!A:A, 'sqft data'!C:C, "Not Found")</f>
        <v>2651</v>
      </c>
      <c r="C247">
        <f>_xlfn.XLOOKUP(A247, 'bedroom data'!A:A, 'bedroom data'!B:B, "Not Found")</f>
        <v>4</v>
      </c>
      <c r="D247">
        <f>_xlfn.XLOOKUP(A247, 'bathroom data'!A:A, 'bathroom data'!B:B, "Not Found")</f>
        <v>4</v>
      </c>
      <c r="E247" t="str">
        <f>_xlfn.XLOOKUP(A247, 'bedroom data'!A:A, 'bedroom data'!C:C, "Not Found")</f>
        <v>Chevy Chase</v>
      </c>
      <c r="F247" t="s">
        <v>553</v>
      </c>
      <c r="G247" t="s">
        <v>341</v>
      </c>
      <c r="H247" t="s">
        <v>493</v>
      </c>
      <c r="I247">
        <v>0</v>
      </c>
      <c r="J247" t="s">
        <v>341</v>
      </c>
      <c r="K247" t="s">
        <v>13</v>
      </c>
      <c r="L247" t="s">
        <v>13</v>
      </c>
    </row>
    <row r="248" spans="1:12" x14ac:dyDescent="0.5">
      <c r="A248" t="s">
        <v>552</v>
      </c>
      <c r="B248">
        <f>_xlfn.XLOOKUP(A248, 'sqft data'!A:A, 'sqft data'!C:C, "Not Found")</f>
        <v>2651</v>
      </c>
      <c r="C248">
        <f>_xlfn.XLOOKUP(A248, 'bedroom data'!A:A, 'bedroom data'!B:B, "Not Found")</f>
        <v>4</v>
      </c>
      <c r="D248">
        <f>_xlfn.XLOOKUP(A248, 'bathroom data'!A:A, 'bathroom data'!B:B, "Not Found")</f>
        <v>4</v>
      </c>
      <c r="E248" t="str">
        <f>_xlfn.XLOOKUP(A248, 'bedroom data'!A:A, 'bedroom data'!C:C, "Not Found")</f>
        <v>Chevy Chase</v>
      </c>
      <c r="F248" t="s">
        <v>553</v>
      </c>
      <c r="G248" t="s">
        <v>128</v>
      </c>
      <c r="H248" t="s">
        <v>555</v>
      </c>
      <c r="I248">
        <v>0</v>
      </c>
      <c r="J248" t="s">
        <v>128</v>
      </c>
      <c r="K248" t="s">
        <v>13</v>
      </c>
      <c r="L248" t="s">
        <v>13</v>
      </c>
    </row>
    <row r="249" spans="1:12" x14ac:dyDescent="0.5">
      <c r="A249" t="s">
        <v>556</v>
      </c>
      <c r="B249">
        <f>_xlfn.XLOOKUP(A249, 'sqft data'!A:A, 'sqft data'!C:C, "Not Found")</f>
        <v>1700</v>
      </c>
      <c r="C249">
        <f>_xlfn.XLOOKUP(A249, 'bedroom data'!A:A, 'bedroom data'!B:B, "Not Found")</f>
        <v>3</v>
      </c>
      <c r="D249">
        <f>_xlfn.XLOOKUP(A249, 'bathroom data'!A:A, 'bathroom data'!B:B, "Not Found")</f>
        <v>3</v>
      </c>
      <c r="E249" t="str">
        <f>_xlfn.XLOOKUP(A249, 'bedroom data'!A:A, 'bedroom data'!C:C, "Not Found")</f>
        <v>Capitol Hill</v>
      </c>
      <c r="F249" t="s">
        <v>557</v>
      </c>
      <c r="G249" t="s">
        <v>558</v>
      </c>
      <c r="H249" t="s">
        <v>133</v>
      </c>
      <c r="I249">
        <v>280</v>
      </c>
      <c r="J249" t="s">
        <v>558</v>
      </c>
      <c r="K249" t="s">
        <v>36</v>
      </c>
      <c r="L249" t="s">
        <v>36</v>
      </c>
    </row>
    <row r="250" spans="1:12" x14ac:dyDescent="0.5">
      <c r="A250" t="s">
        <v>556</v>
      </c>
      <c r="B250">
        <f>_xlfn.XLOOKUP(A250, 'sqft data'!A:A, 'sqft data'!C:C, "Not Found")</f>
        <v>1700</v>
      </c>
      <c r="C250">
        <f>_xlfn.XLOOKUP(A250, 'bedroom data'!A:A, 'bedroom data'!B:B, "Not Found")</f>
        <v>3</v>
      </c>
      <c r="D250">
        <f>_xlfn.XLOOKUP(A250, 'bathroom data'!A:A, 'bathroom data'!B:B, "Not Found")</f>
        <v>3</v>
      </c>
      <c r="E250" t="str">
        <f>_xlfn.XLOOKUP(A250, 'bedroom data'!A:A, 'bedroom data'!C:C, "Not Found")</f>
        <v>Capitol Hill</v>
      </c>
      <c r="F250" t="s">
        <v>557</v>
      </c>
      <c r="G250" t="s">
        <v>292</v>
      </c>
      <c r="H250" t="s">
        <v>28</v>
      </c>
      <c r="I250">
        <v>280</v>
      </c>
      <c r="J250" t="s">
        <v>391</v>
      </c>
      <c r="K250" t="s">
        <v>36</v>
      </c>
      <c r="L250" t="s">
        <v>36</v>
      </c>
    </row>
    <row r="251" spans="1:12" x14ac:dyDescent="0.5">
      <c r="A251" t="s">
        <v>556</v>
      </c>
      <c r="B251">
        <f>_xlfn.XLOOKUP(A251, 'sqft data'!A:A, 'sqft data'!C:C, "Not Found")</f>
        <v>1700</v>
      </c>
      <c r="C251">
        <f>_xlfn.XLOOKUP(A251, 'bedroom data'!A:A, 'bedroom data'!B:B, "Not Found")</f>
        <v>3</v>
      </c>
      <c r="D251">
        <f>_xlfn.XLOOKUP(A251, 'bathroom data'!A:A, 'bathroom data'!B:B, "Not Found")</f>
        <v>3</v>
      </c>
      <c r="E251" t="str">
        <f>_xlfn.XLOOKUP(A251, 'bedroom data'!A:A, 'bedroom data'!C:C, "Not Found")</f>
        <v>Capitol Hill</v>
      </c>
      <c r="F251" t="s">
        <v>557</v>
      </c>
      <c r="G251" t="s">
        <v>84</v>
      </c>
      <c r="H251" t="s">
        <v>140</v>
      </c>
      <c r="I251">
        <v>250</v>
      </c>
      <c r="J251" t="s">
        <v>559</v>
      </c>
      <c r="K251" t="s">
        <v>36</v>
      </c>
      <c r="L251" t="s">
        <v>13</v>
      </c>
    </row>
    <row r="252" spans="1:12" x14ac:dyDescent="0.5">
      <c r="A252" t="s">
        <v>556</v>
      </c>
      <c r="B252">
        <f>_xlfn.XLOOKUP(A252, 'sqft data'!A:A, 'sqft data'!C:C, "Not Found")</f>
        <v>1700</v>
      </c>
      <c r="C252">
        <f>_xlfn.XLOOKUP(A252, 'bedroom data'!A:A, 'bedroom data'!B:B, "Not Found")</f>
        <v>3</v>
      </c>
      <c r="D252">
        <f>_xlfn.XLOOKUP(A252, 'bathroom data'!A:A, 'bathroom data'!B:B, "Not Found")</f>
        <v>3</v>
      </c>
      <c r="E252" t="str">
        <f>_xlfn.XLOOKUP(A252, 'bedroom data'!A:A, 'bedroom data'!C:C, "Not Found")</f>
        <v>Capitol Hill</v>
      </c>
      <c r="F252" t="s">
        <v>557</v>
      </c>
      <c r="G252" t="s">
        <v>560</v>
      </c>
      <c r="H252" t="s">
        <v>561</v>
      </c>
      <c r="I252">
        <v>250</v>
      </c>
      <c r="J252" t="s">
        <v>562</v>
      </c>
      <c r="K252" t="s">
        <v>13</v>
      </c>
      <c r="L252" t="s">
        <v>13</v>
      </c>
    </row>
    <row r="253" spans="1:12" x14ac:dyDescent="0.5">
      <c r="A253" t="s">
        <v>563</v>
      </c>
      <c r="B253">
        <f>_xlfn.XLOOKUP(A253, 'sqft data'!A:A, 'sqft data'!C:C, "Not Found")</f>
        <v>2200</v>
      </c>
      <c r="C253">
        <f>_xlfn.XLOOKUP(A253, 'bedroom data'!A:A, 'bedroom data'!B:B, "Not Found")</f>
        <v>3</v>
      </c>
      <c r="D253">
        <f>_xlfn.XLOOKUP(A253, 'bathroom data'!A:A, 'bathroom data'!B:B, "Not Found")</f>
        <v>2.5</v>
      </c>
      <c r="E253" t="str">
        <f>_xlfn.XLOOKUP(A253, 'bedroom data'!A:A, 'bedroom data'!C:C, "Not Found")</f>
        <v>Mt Pleasant</v>
      </c>
      <c r="F253" t="s">
        <v>564</v>
      </c>
      <c r="G253" t="s">
        <v>133</v>
      </c>
      <c r="H253" t="s">
        <v>204</v>
      </c>
      <c r="I253">
        <v>220</v>
      </c>
      <c r="J253" t="s">
        <v>400</v>
      </c>
      <c r="K253" t="s">
        <v>36</v>
      </c>
      <c r="L253" t="s">
        <v>13</v>
      </c>
    </row>
    <row r="254" spans="1:12" x14ac:dyDescent="0.5">
      <c r="A254" t="s">
        <v>565</v>
      </c>
      <c r="B254">
        <f>_xlfn.XLOOKUP(A254, 'sqft data'!A:A, 'sqft data'!C:C, "Not Found")</f>
        <v>1400</v>
      </c>
      <c r="C254">
        <f>_xlfn.XLOOKUP(A254, 'bedroom data'!A:A, 'bedroom data'!B:B, "Not Found")</f>
        <v>2</v>
      </c>
      <c r="D254">
        <f>_xlfn.XLOOKUP(A254, 'bathroom data'!A:A, 'bathroom data'!B:B, "Not Found")</f>
        <v>2</v>
      </c>
      <c r="E254" t="str">
        <f>_xlfn.XLOOKUP(A254, 'bedroom data'!A:A, 'bedroom data'!C:C, "Not Found")</f>
        <v>Capitol Hill</v>
      </c>
      <c r="F254" t="s">
        <v>566</v>
      </c>
      <c r="G254" t="s">
        <v>73</v>
      </c>
      <c r="H254" t="s">
        <v>402</v>
      </c>
      <c r="I254">
        <v>0</v>
      </c>
      <c r="J254" t="s">
        <v>306</v>
      </c>
      <c r="K254" t="s">
        <v>13</v>
      </c>
      <c r="L254" t="s">
        <v>13</v>
      </c>
    </row>
    <row r="255" spans="1:12" x14ac:dyDescent="0.5">
      <c r="A255" t="s">
        <v>565</v>
      </c>
      <c r="B255">
        <f>_xlfn.XLOOKUP(A255, 'sqft data'!A:A, 'sqft data'!C:C, "Not Found")</f>
        <v>1400</v>
      </c>
      <c r="C255">
        <f>_xlfn.XLOOKUP(A255, 'bedroom data'!A:A, 'bedroom data'!B:B, "Not Found")</f>
        <v>2</v>
      </c>
      <c r="D255">
        <f>_xlfn.XLOOKUP(A255, 'bathroom data'!A:A, 'bathroom data'!B:B, "Not Found")</f>
        <v>2</v>
      </c>
      <c r="E255" t="str">
        <f>_xlfn.XLOOKUP(A255, 'bedroom data'!A:A, 'bedroom data'!C:C, "Not Found")</f>
        <v>Capitol Hill</v>
      </c>
      <c r="F255" t="s">
        <v>566</v>
      </c>
      <c r="G255" t="s">
        <v>567</v>
      </c>
      <c r="H255" t="s">
        <v>284</v>
      </c>
      <c r="I255">
        <v>174</v>
      </c>
      <c r="J255" t="s">
        <v>264</v>
      </c>
      <c r="K255" t="s">
        <v>13</v>
      </c>
      <c r="L255" t="s">
        <v>13</v>
      </c>
    </row>
    <row r="256" spans="1:12" x14ac:dyDescent="0.5">
      <c r="A256" t="s">
        <v>565</v>
      </c>
      <c r="B256">
        <f>_xlfn.XLOOKUP(A256, 'sqft data'!A:A, 'sqft data'!C:C, "Not Found")</f>
        <v>1400</v>
      </c>
      <c r="C256">
        <f>_xlfn.XLOOKUP(A256, 'bedroom data'!A:A, 'bedroom data'!B:B, "Not Found")</f>
        <v>2</v>
      </c>
      <c r="D256">
        <f>_xlfn.XLOOKUP(A256, 'bathroom data'!A:A, 'bathroom data'!B:B, "Not Found")</f>
        <v>2</v>
      </c>
      <c r="E256" t="str">
        <f>_xlfn.XLOOKUP(A256, 'bedroom data'!A:A, 'bedroom data'!C:C, "Not Found")</f>
        <v>Capitol Hill</v>
      </c>
      <c r="F256" t="s">
        <v>566</v>
      </c>
      <c r="G256" t="s">
        <v>40</v>
      </c>
      <c r="H256" t="s">
        <v>29</v>
      </c>
      <c r="I256">
        <v>178</v>
      </c>
      <c r="J256" t="s">
        <v>288</v>
      </c>
      <c r="K256" t="s">
        <v>13</v>
      </c>
      <c r="L256" t="s">
        <v>13</v>
      </c>
    </row>
    <row r="257" spans="1:12" x14ac:dyDescent="0.5">
      <c r="A257" t="s">
        <v>565</v>
      </c>
      <c r="B257">
        <f>_xlfn.XLOOKUP(A257, 'sqft data'!A:A, 'sqft data'!C:C, "Not Found")</f>
        <v>1400</v>
      </c>
      <c r="C257">
        <f>_xlfn.XLOOKUP(A257, 'bedroom data'!A:A, 'bedroom data'!B:B, "Not Found")</f>
        <v>2</v>
      </c>
      <c r="D257">
        <f>_xlfn.XLOOKUP(A257, 'bathroom data'!A:A, 'bathroom data'!B:B, "Not Found")</f>
        <v>2</v>
      </c>
      <c r="E257" t="str">
        <f>_xlfn.XLOOKUP(A257, 'bedroom data'!A:A, 'bedroom data'!C:C, "Not Found")</f>
        <v>Capitol Hill</v>
      </c>
      <c r="F257" t="s">
        <v>566</v>
      </c>
      <c r="G257" t="s">
        <v>10</v>
      </c>
      <c r="H257" t="s">
        <v>303</v>
      </c>
      <c r="I257">
        <v>0</v>
      </c>
      <c r="J257" t="s">
        <v>288</v>
      </c>
      <c r="K257" t="s">
        <v>13</v>
      </c>
      <c r="L257" t="s">
        <v>13</v>
      </c>
    </row>
    <row r="258" spans="1:12" x14ac:dyDescent="0.5">
      <c r="A258" t="s">
        <v>565</v>
      </c>
      <c r="B258">
        <f>_xlfn.XLOOKUP(A258, 'sqft data'!A:A, 'sqft data'!C:C, "Not Found")</f>
        <v>1400</v>
      </c>
      <c r="C258">
        <f>_xlfn.XLOOKUP(A258, 'bedroom data'!A:A, 'bedroom data'!B:B, "Not Found")</f>
        <v>2</v>
      </c>
      <c r="D258">
        <f>_xlfn.XLOOKUP(A258, 'bathroom data'!A:A, 'bathroom data'!B:B, "Not Found")</f>
        <v>2</v>
      </c>
      <c r="E258" t="str">
        <f>_xlfn.XLOOKUP(A258, 'bedroom data'!A:A, 'bedroom data'!C:C, "Not Found")</f>
        <v>Capitol Hill</v>
      </c>
      <c r="F258" t="s">
        <v>566</v>
      </c>
      <c r="G258" t="s">
        <v>438</v>
      </c>
      <c r="H258" t="s">
        <v>106</v>
      </c>
      <c r="I258">
        <v>0</v>
      </c>
      <c r="J258" t="s">
        <v>438</v>
      </c>
      <c r="K258" t="s">
        <v>13</v>
      </c>
      <c r="L258" t="s">
        <v>13</v>
      </c>
    </row>
    <row r="259" spans="1:12" x14ac:dyDescent="0.5">
      <c r="A259" t="s">
        <v>565</v>
      </c>
      <c r="B259">
        <f>_xlfn.XLOOKUP(A259, 'sqft data'!A:A, 'sqft data'!C:C, "Not Found")</f>
        <v>1400</v>
      </c>
      <c r="C259">
        <f>_xlfn.XLOOKUP(A259, 'bedroom data'!A:A, 'bedroom data'!B:B, "Not Found")</f>
        <v>2</v>
      </c>
      <c r="D259">
        <f>_xlfn.XLOOKUP(A259, 'bathroom data'!A:A, 'bathroom data'!B:B, "Not Found")</f>
        <v>2</v>
      </c>
      <c r="E259" t="str">
        <f>_xlfn.XLOOKUP(A259, 'bedroom data'!A:A, 'bedroom data'!C:C, "Not Found")</f>
        <v>Capitol Hill</v>
      </c>
      <c r="F259" t="s">
        <v>566</v>
      </c>
      <c r="G259" t="s">
        <v>539</v>
      </c>
      <c r="H259" t="s">
        <v>144</v>
      </c>
      <c r="I259">
        <v>192</v>
      </c>
      <c r="J259" t="s">
        <v>568</v>
      </c>
      <c r="K259" t="s">
        <v>36</v>
      </c>
      <c r="L259" t="s">
        <v>13</v>
      </c>
    </row>
    <row r="260" spans="1:12" x14ac:dyDescent="0.5">
      <c r="A260" t="s">
        <v>569</v>
      </c>
      <c r="B260">
        <f>_xlfn.XLOOKUP(A260, 'sqft data'!A:A, 'sqft data'!C:C, "Not Found")</f>
        <v>700</v>
      </c>
      <c r="C260">
        <f>_xlfn.XLOOKUP(A260, 'bedroom data'!A:A, 'bedroom data'!B:B, "Not Found")</f>
        <v>1</v>
      </c>
      <c r="D260">
        <f>_xlfn.XLOOKUP(A260, 'bathroom data'!A:A, 'bathroom data'!B:B, "Not Found")</f>
        <v>1</v>
      </c>
      <c r="E260" t="str">
        <f>_xlfn.XLOOKUP(A260, 'bedroom data'!A:A, 'bedroom data'!C:C, "Not Found")</f>
        <v>Georgetown</v>
      </c>
      <c r="F260" t="s">
        <v>274</v>
      </c>
      <c r="G260" t="s">
        <v>396</v>
      </c>
      <c r="H260" t="s">
        <v>44</v>
      </c>
      <c r="I260">
        <v>127</v>
      </c>
      <c r="J260" t="s">
        <v>570</v>
      </c>
      <c r="K260" t="s">
        <v>13</v>
      </c>
      <c r="L260" t="s">
        <v>36</v>
      </c>
    </row>
    <row r="261" spans="1:12" x14ac:dyDescent="0.5">
      <c r="A261" t="s">
        <v>569</v>
      </c>
      <c r="B261">
        <f>_xlfn.XLOOKUP(A261, 'sqft data'!A:A, 'sqft data'!C:C, "Not Found")</f>
        <v>700</v>
      </c>
      <c r="C261">
        <f>_xlfn.XLOOKUP(A261, 'bedroom data'!A:A, 'bedroom data'!B:B, "Not Found")</f>
        <v>1</v>
      </c>
      <c r="D261">
        <f>_xlfn.XLOOKUP(A261, 'bathroom data'!A:A, 'bathroom data'!B:B, "Not Found")</f>
        <v>1</v>
      </c>
      <c r="E261" t="str">
        <f>_xlfn.XLOOKUP(A261, 'bedroom data'!A:A, 'bedroom data'!C:C, "Not Found")</f>
        <v>Georgetown</v>
      </c>
      <c r="F261" t="s">
        <v>274</v>
      </c>
      <c r="G261" t="s">
        <v>381</v>
      </c>
      <c r="H261" t="s">
        <v>265</v>
      </c>
      <c r="I261">
        <v>127</v>
      </c>
      <c r="J261" t="s">
        <v>215</v>
      </c>
      <c r="K261" t="s">
        <v>13</v>
      </c>
      <c r="L261" t="s">
        <v>13</v>
      </c>
    </row>
    <row r="262" spans="1:12" x14ac:dyDescent="0.5">
      <c r="A262" t="s">
        <v>569</v>
      </c>
      <c r="B262">
        <f>_xlfn.XLOOKUP(A262, 'sqft data'!A:A, 'sqft data'!C:C, "Not Found")</f>
        <v>700</v>
      </c>
      <c r="C262">
        <f>_xlfn.XLOOKUP(A262, 'bedroom data'!A:A, 'bedroom data'!B:B, "Not Found")</f>
        <v>1</v>
      </c>
      <c r="D262">
        <f>_xlfn.XLOOKUP(A262, 'bathroom data'!A:A, 'bathroom data'!B:B, "Not Found")</f>
        <v>1</v>
      </c>
      <c r="E262" t="str">
        <f>_xlfn.XLOOKUP(A262, 'bedroom data'!A:A, 'bedroom data'!C:C, "Not Found")</f>
        <v>Georgetown</v>
      </c>
      <c r="F262" t="s">
        <v>274</v>
      </c>
      <c r="G262" t="s">
        <v>571</v>
      </c>
      <c r="H262" t="s">
        <v>153</v>
      </c>
      <c r="I262">
        <v>105</v>
      </c>
      <c r="J262" t="s">
        <v>444</v>
      </c>
      <c r="K262" t="s">
        <v>13</v>
      </c>
      <c r="L262" t="s">
        <v>13</v>
      </c>
    </row>
    <row r="263" spans="1:12" x14ac:dyDescent="0.5">
      <c r="A263" t="s">
        <v>569</v>
      </c>
      <c r="B263">
        <f>_xlfn.XLOOKUP(A263, 'sqft data'!A:A, 'sqft data'!C:C, "Not Found")</f>
        <v>700</v>
      </c>
      <c r="C263">
        <f>_xlfn.XLOOKUP(A263, 'bedroom data'!A:A, 'bedroom data'!B:B, "Not Found")</f>
        <v>1</v>
      </c>
      <c r="D263">
        <f>_xlfn.XLOOKUP(A263, 'bathroom data'!A:A, 'bathroom data'!B:B, "Not Found")</f>
        <v>1</v>
      </c>
      <c r="E263" t="str">
        <f>_xlfn.XLOOKUP(A263, 'bedroom data'!A:A, 'bedroom data'!C:C, "Not Found")</f>
        <v>Georgetown</v>
      </c>
      <c r="F263" t="s">
        <v>274</v>
      </c>
      <c r="G263" t="s">
        <v>196</v>
      </c>
      <c r="H263" t="s">
        <v>96</v>
      </c>
      <c r="I263">
        <v>105</v>
      </c>
      <c r="J263" t="s">
        <v>572</v>
      </c>
      <c r="K263" t="s">
        <v>13</v>
      </c>
      <c r="L263" t="s">
        <v>13</v>
      </c>
    </row>
    <row r="264" spans="1:12" x14ac:dyDescent="0.5">
      <c r="A264" t="s">
        <v>569</v>
      </c>
      <c r="B264">
        <f>_xlfn.XLOOKUP(A264, 'sqft data'!A:A, 'sqft data'!C:C, "Not Found")</f>
        <v>700</v>
      </c>
      <c r="C264">
        <f>_xlfn.XLOOKUP(A264, 'bedroom data'!A:A, 'bedroom data'!B:B, "Not Found")</f>
        <v>1</v>
      </c>
      <c r="D264">
        <f>_xlfn.XLOOKUP(A264, 'bathroom data'!A:A, 'bathroom data'!B:B, "Not Found")</f>
        <v>1</v>
      </c>
      <c r="E264" t="str">
        <f>_xlfn.XLOOKUP(A264, 'bedroom data'!A:A, 'bedroom data'!C:C, "Not Found")</f>
        <v>Georgetown</v>
      </c>
      <c r="F264" t="s">
        <v>274</v>
      </c>
      <c r="G264" t="s">
        <v>573</v>
      </c>
      <c r="H264" t="s">
        <v>107</v>
      </c>
      <c r="I264">
        <v>135</v>
      </c>
      <c r="J264" t="s">
        <v>473</v>
      </c>
      <c r="K264" t="s">
        <v>13</v>
      </c>
      <c r="L264" t="s">
        <v>13</v>
      </c>
    </row>
    <row r="265" spans="1:12" x14ac:dyDescent="0.5">
      <c r="A265" t="s">
        <v>574</v>
      </c>
      <c r="B265">
        <f>_xlfn.XLOOKUP(A265, 'sqft data'!A:A, 'sqft data'!C:C, "Not Found")</f>
        <v>700</v>
      </c>
      <c r="C265">
        <f>_xlfn.XLOOKUP(A265, 'bedroom data'!A:A, 'bedroom data'!B:B, "Not Found")</f>
        <v>1</v>
      </c>
      <c r="D265">
        <f>_xlfn.XLOOKUP(A265, 'bathroom data'!A:A, 'bathroom data'!B:B, "Not Found")</f>
        <v>1</v>
      </c>
      <c r="E265" t="str">
        <f>_xlfn.XLOOKUP(A265, 'bedroom data'!A:A, 'bedroom data'!C:C, "Not Found")</f>
        <v>Georgetown</v>
      </c>
      <c r="F265" t="s">
        <v>274</v>
      </c>
      <c r="G265" t="s">
        <v>45</v>
      </c>
      <c r="H265" t="s">
        <v>266</v>
      </c>
      <c r="I265">
        <v>0</v>
      </c>
      <c r="J265" t="s">
        <v>45</v>
      </c>
      <c r="K265" t="s">
        <v>13</v>
      </c>
      <c r="L265" t="s">
        <v>13</v>
      </c>
    </row>
    <row r="266" spans="1:12" x14ac:dyDescent="0.5">
      <c r="A266" t="s">
        <v>574</v>
      </c>
      <c r="B266">
        <f>_xlfn.XLOOKUP(A266, 'sqft data'!A:A, 'sqft data'!C:C, "Not Found")</f>
        <v>700</v>
      </c>
      <c r="C266">
        <f>_xlfn.XLOOKUP(A266, 'bedroom data'!A:A, 'bedroom data'!B:B, "Not Found")</f>
        <v>1</v>
      </c>
      <c r="D266">
        <f>_xlfn.XLOOKUP(A266, 'bathroom data'!A:A, 'bathroom data'!B:B, "Not Found")</f>
        <v>1</v>
      </c>
      <c r="E266" t="str">
        <f>_xlfn.XLOOKUP(A266, 'bedroom data'!A:A, 'bedroom data'!C:C, "Not Found")</f>
        <v>Georgetown</v>
      </c>
      <c r="F266" t="s">
        <v>274</v>
      </c>
      <c r="G266" t="s">
        <v>575</v>
      </c>
      <c r="H266" t="s">
        <v>576</v>
      </c>
      <c r="I266">
        <v>100</v>
      </c>
      <c r="J266" t="s">
        <v>575</v>
      </c>
      <c r="K266" t="s">
        <v>13</v>
      </c>
      <c r="L266" t="s">
        <v>13</v>
      </c>
    </row>
    <row r="267" spans="1:12" x14ac:dyDescent="0.5">
      <c r="A267" t="s">
        <v>574</v>
      </c>
      <c r="B267">
        <f>_xlfn.XLOOKUP(A267, 'sqft data'!A:A, 'sqft data'!C:C, "Not Found")</f>
        <v>700</v>
      </c>
      <c r="C267">
        <f>_xlfn.XLOOKUP(A267, 'bedroom data'!A:A, 'bedroom data'!B:B, "Not Found")</f>
        <v>1</v>
      </c>
      <c r="D267">
        <f>_xlfn.XLOOKUP(A267, 'bathroom data'!A:A, 'bathroom data'!B:B, "Not Found")</f>
        <v>1</v>
      </c>
      <c r="E267" t="str">
        <f>_xlfn.XLOOKUP(A267, 'bedroom data'!A:A, 'bedroom data'!C:C, "Not Found")</f>
        <v>Georgetown</v>
      </c>
      <c r="F267" t="s">
        <v>274</v>
      </c>
      <c r="G267" t="s">
        <v>576</v>
      </c>
      <c r="H267" t="s">
        <v>83</v>
      </c>
      <c r="I267">
        <v>110</v>
      </c>
      <c r="J267" t="s">
        <v>577</v>
      </c>
      <c r="K267" t="s">
        <v>13</v>
      </c>
      <c r="L267" t="s">
        <v>13</v>
      </c>
    </row>
    <row r="268" spans="1:12" x14ac:dyDescent="0.5">
      <c r="A268" t="s">
        <v>578</v>
      </c>
      <c r="B268">
        <f>_xlfn.XLOOKUP(A268, 'sqft data'!A:A, 'sqft data'!C:C, "Not Found")</f>
        <v>700</v>
      </c>
      <c r="C268">
        <f>_xlfn.XLOOKUP(A268, 'bedroom data'!A:A, 'bedroom data'!B:B, "Not Found")</f>
        <v>1</v>
      </c>
      <c r="D268">
        <f>_xlfn.XLOOKUP(A268, 'bathroom data'!A:A, 'bathroom data'!B:B, "Not Found")</f>
        <v>1</v>
      </c>
      <c r="E268" t="str">
        <f>_xlfn.XLOOKUP(A268, 'bedroom data'!A:A, 'bedroom data'!C:C, "Not Found")</f>
        <v>Georgetown</v>
      </c>
      <c r="F268" t="s">
        <v>274</v>
      </c>
      <c r="G268" t="s">
        <v>267</v>
      </c>
      <c r="H268" t="s">
        <v>105</v>
      </c>
      <c r="I268">
        <v>125</v>
      </c>
      <c r="J268" t="s">
        <v>79</v>
      </c>
      <c r="K268" t="s">
        <v>13</v>
      </c>
      <c r="L268" t="s">
        <v>13</v>
      </c>
    </row>
    <row r="269" spans="1:12" x14ac:dyDescent="0.5">
      <c r="A269" t="s">
        <v>578</v>
      </c>
      <c r="B269">
        <f>_xlfn.XLOOKUP(A269, 'sqft data'!A:A, 'sqft data'!C:C, "Not Found")</f>
        <v>700</v>
      </c>
      <c r="C269">
        <f>_xlfn.XLOOKUP(A269, 'bedroom data'!A:A, 'bedroom data'!B:B, "Not Found")</f>
        <v>1</v>
      </c>
      <c r="D269">
        <f>_xlfn.XLOOKUP(A269, 'bathroom data'!A:A, 'bathroom data'!B:B, "Not Found")</f>
        <v>1</v>
      </c>
      <c r="E269" t="str">
        <f>_xlfn.XLOOKUP(A269, 'bedroom data'!A:A, 'bedroom data'!C:C, "Not Found")</f>
        <v>Georgetown</v>
      </c>
      <c r="F269" t="s">
        <v>274</v>
      </c>
      <c r="G269" t="s">
        <v>229</v>
      </c>
      <c r="H269" t="s">
        <v>579</v>
      </c>
      <c r="I269">
        <v>125</v>
      </c>
      <c r="J269" t="s">
        <v>125</v>
      </c>
      <c r="K269" t="s">
        <v>13</v>
      </c>
      <c r="L269" t="s">
        <v>13</v>
      </c>
    </row>
    <row r="270" spans="1:12" x14ac:dyDescent="0.5">
      <c r="A270" t="s">
        <v>580</v>
      </c>
      <c r="B270">
        <f>_xlfn.XLOOKUP(A270, 'sqft data'!A:A, 'sqft data'!C:C, "Not Found")</f>
        <v>650</v>
      </c>
      <c r="C270">
        <f>_xlfn.XLOOKUP(A270, 'bedroom data'!A:A, 'bedroom data'!B:B, "Not Found")</f>
        <v>1</v>
      </c>
      <c r="D270">
        <f>_xlfn.XLOOKUP(A270, 'bathroom data'!A:A, 'bathroom data'!B:B, "Not Found")</f>
        <v>1</v>
      </c>
      <c r="E270" t="str">
        <f>_xlfn.XLOOKUP(A270, 'bedroom data'!A:A, 'bedroom data'!C:C, "Not Found")</f>
        <v>Capitol Hill</v>
      </c>
      <c r="F270" t="s">
        <v>581</v>
      </c>
      <c r="G270" t="s">
        <v>191</v>
      </c>
      <c r="H270" t="s">
        <v>99</v>
      </c>
      <c r="I270">
        <v>123</v>
      </c>
      <c r="J270" t="s">
        <v>463</v>
      </c>
      <c r="K270" t="s">
        <v>13</v>
      </c>
      <c r="L270" t="s">
        <v>13</v>
      </c>
    </row>
    <row r="271" spans="1:12" x14ac:dyDescent="0.5">
      <c r="A271" t="s">
        <v>580</v>
      </c>
      <c r="B271">
        <f>_xlfn.XLOOKUP(A271, 'sqft data'!A:A, 'sqft data'!C:C, "Not Found")</f>
        <v>650</v>
      </c>
      <c r="C271">
        <f>_xlfn.XLOOKUP(A271, 'bedroom data'!A:A, 'bedroom data'!B:B, "Not Found")</f>
        <v>1</v>
      </c>
      <c r="D271">
        <f>_xlfn.XLOOKUP(A271, 'bathroom data'!A:A, 'bathroom data'!B:B, "Not Found")</f>
        <v>1</v>
      </c>
      <c r="E271" t="str">
        <f>_xlfn.XLOOKUP(A271, 'bedroom data'!A:A, 'bedroom data'!C:C, "Not Found")</f>
        <v>Capitol Hill</v>
      </c>
      <c r="F271" t="s">
        <v>581</v>
      </c>
      <c r="G271" t="s">
        <v>504</v>
      </c>
      <c r="H271" t="s">
        <v>582</v>
      </c>
      <c r="I271">
        <v>120</v>
      </c>
      <c r="J271" t="s">
        <v>170</v>
      </c>
      <c r="K271" t="s">
        <v>13</v>
      </c>
      <c r="L271" t="s">
        <v>13</v>
      </c>
    </row>
    <row r="272" spans="1:12" x14ac:dyDescent="0.5">
      <c r="A272" t="s">
        <v>580</v>
      </c>
      <c r="B272">
        <f>_xlfn.XLOOKUP(A272, 'sqft data'!A:A, 'sqft data'!C:C, "Not Found")</f>
        <v>650</v>
      </c>
      <c r="C272">
        <f>_xlfn.XLOOKUP(A272, 'bedroom data'!A:A, 'bedroom data'!B:B, "Not Found")</f>
        <v>1</v>
      </c>
      <c r="D272">
        <f>_xlfn.XLOOKUP(A272, 'bathroom data'!A:A, 'bathroom data'!B:B, "Not Found")</f>
        <v>1</v>
      </c>
      <c r="E272" t="str">
        <f>_xlfn.XLOOKUP(A272, 'bedroom data'!A:A, 'bedroom data'!C:C, "Not Found")</f>
        <v>Capitol Hill</v>
      </c>
      <c r="F272" t="s">
        <v>581</v>
      </c>
      <c r="G272" t="s">
        <v>145</v>
      </c>
      <c r="H272" t="s">
        <v>583</v>
      </c>
      <c r="I272">
        <v>120</v>
      </c>
      <c r="J272" t="s">
        <v>584</v>
      </c>
      <c r="K272" t="s">
        <v>13</v>
      </c>
      <c r="L272" t="s">
        <v>13</v>
      </c>
    </row>
    <row r="273" spans="1:12" x14ac:dyDescent="0.5">
      <c r="A273" t="s">
        <v>580</v>
      </c>
      <c r="B273">
        <f>_xlfn.XLOOKUP(A273, 'sqft data'!A:A, 'sqft data'!C:C, "Not Found")</f>
        <v>650</v>
      </c>
      <c r="C273">
        <f>_xlfn.XLOOKUP(A273, 'bedroom data'!A:A, 'bedroom data'!B:B, "Not Found")</f>
        <v>1</v>
      </c>
      <c r="D273">
        <f>_xlfn.XLOOKUP(A273, 'bathroom data'!A:A, 'bathroom data'!B:B, "Not Found")</f>
        <v>1</v>
      </c>
      <c r="E273" t="str">
        <f>_xlfn.XLOOKUP(A273, 'bedroom data'!A:A, 'bedroom data'!C:C, "Not Found")</f>
        <v>Capitol Hill</v>
      </c>
      <c r="F273" t="s">
        <v>581</v>
      </c>
      <c r="G273" t="s">
        <v>585</v>
      </c>
      <c r="H273" t="s">
        <v>93</v>
      </c>
      <c r="I273">
        <v>120</v>
      </c>
      <c r="J273" t="s">
        <v>547</v>
      </c>
      <c r="K273" t="s">
        <v>13</v>
      </c>
      <c r="L273" t="s">
        <v>13</v>
      </c>
    </row>
    <row r="274" spans="1:12" x14ac:dyDescent="0.5">
      <c r="A274" t="s">
        <v>586</v>
      </c>
      <c r="B274">
        <f>_xlfn.XLOOKUP(A274, 'sqft data'!A:A, 'sqft data'!C:C, "Not Found")</f>
        <v>1450</v>
      </c>
      <c r="C274">
        <f>_xlfn.XLOOKUP(A274, 'bedroom data'!A:A, 'bedroom data'!B:B, "Not Found")</f>
        <v>2</v>
      </c>
      <c r="D274">
        <f>_xlfn.XLOOKUP(A274, 'bathroom data'!A:A, 'bathroom data'!B:B, "Not Found")</f>
        <v>2.5</v>
      </c>
      <c r="E274" t="str">
        <f>_xlfn.XLOOKUP(A274, 'bedroom data'!A:A, 'bedroom data'!C:C, "Not Found")</f>
        <v>Foggy Bottom</v>
      </c>
      <c r="F274" t="s">
        <v>587</v>
      </c>
      <c r="G274" t="s">
        <v>588</v>
      </c>
      <c r="H274" t="s">
        <v>537</v>
      </c>
      <c r="I274">
        <v>166.67</v>
      </c>
      <c r="J274" t="s">
        <v>589</v>
      </c>
      <c r="K274" t="s">
        <v>36</v>
      </c>
      <c r="L274" t="s">
        <v>13</v>
      </c>
    </row>
    <row r="275" spans="1:12" x14ac:dyDescent="0.5">
      <c r="A275" t="s">
        <v>586</v>
      </c>
      <c r="B275">
        <f>_xlfn.XLOOKUP(A275, 'sqft data'!A:A, 'sqft data'!C:C, "Not Found")</f>
        <v>1450</v>
      </c>
      <c r="C275">
        <f>_xlfn.XLOOKUP(A275, 'bedroom data'!A:A, 'bedroom data'!B:B, "Not Found")</f>
        <v>2</v>
      </c>
      <c r="D275">
        <f>_xlfn.XLOOKUP(A275, 'bathroom data'!A:A, 'bathroom data'!B:B, "Not Found")</f>
        <v>2.5</v>
      </c>
      <c r="E275" t="str">
        <f>_xlfn.XLOOKUP(A275, 'bedroom data'!A:A, 'bedroom data'!C:C, "Not Found")</f>
        <v>Foggy Bottom</v>
      </c>
      <c r="F275" t="s">
        <v>587</v>
      </c>
      <c r="G275" t="s">
        <v>537</v>
      </c>
      <c r="H275" t="s">
        <v>94</v>
      </c>
      <c r="I275">
        <v>173.33</v>
      </c>
      <c r="J275" t="s">
        <v>10</v>
      </c>
      <c r="K275" t="s">
        <v>36</v>
      </c>
      <c r="L275" t="s">
        <v>13</v>
      </c>
    </row>
    <row r="276" spans="1:12" x14ac:dyDescent="0.5">
      <c r="A276" t="s">
        <v>590</v>
      </c>
      <c r="B276">
        <f>_xlfn.XLOOKUP(A276, 'sqft data'!A:A, 'sqft data'!C:C, "Not Found")</f>
        <v>700</v>
      </c>
      <c r="C276">
        <f>_xlfn.XLOOKUP(A276, 'bedroom data'!A:A, 'bedroom data'!B:B, "Not Found")</f>
        <v>1</v>
      </c>
      <c r="D276">
        <f>_xlfn.XLOOKUP(A276, 'bathroom data'!A:A, 'bathroom data'!B:B, "Not Found")</f>
        <v>1</v>
      </c>
      <c r="E276" t="str">
        <f>_xlfn.XLOOKUP(A276, 'bedroom data'!A:A, 'bedroom data'!C:C, "Not Found")</f>
        <v>Cleveland Park</v>
      </c>
      <c r="F276" t="s">
        <v>591</v>
      </c>
      <c r="G276" t="s">
        <v>125</v>
      </c>
      <c r="H276" t="s">
        <v>125</v>
      </c>
      <c r="I276">
        <v>0</v>
      </c>
      <c r="J276" t="s">
        <v>125</v>
      </c>
      <c r="K276" t="s">
        <v>13</v>
      </c>
      <c r="L276" t="s">
        <v>13</v>
      </c>
    </row>
    <row r="277" spans="1:12" x14ac:dyDescent="0.5">
      <c r="A277" t="s">
        <v>590</v>
      </c>
      <c r="B277">
        <f>_xlfn.XLOOKUP(A277, 'sqft data'!A:A, 'sqft data'!C:C, "Not Found")</f>
        <v>700</v>
      </c>
      <c r="C277">
        <f>_xlfn.XLOOKUP(A277, 'bedroom data'!A:A, 'bedroom data'!B:B, "Not Found")</f>
        <v>1</v>
      </c>
      <c r="D277">
        <f>_xlfn.XLOOKUP(A277, 'bathroom data'!A:A, 'bathroom data'!B:B, "Not Found")</f>
        <v>1</v>
      </c>
      <c r="E277" t="str">
        <f>_xlfn.XLOOKUP(A277, 'bedroom data'!A:A, 'bedroom data'!C:C, "Not Found")</f>
        <v>Cleveland Park</v>
      </c>
      <c r="F277" t="s">
        <v>591</v>
      </c>
      <c r="G277" t="s">
        <v>105</v>
      </c>
      <c r="H277" t="s">
        <v>253</v>
      </c>
      <c r="I277">
        <v>115</v>
      </c>
      <c r="J277" t="s">
        <v>592</v>
      </c>
      <c r="K277" t="s">
        <v>13</v>
      </c>
      <c r="L277" t="s">
        <v>13</v>
      </c>
    </row>
    <row r="278" spans="1:12" x14ac:dyDescent="0.5">
      <c r="A278" t="s">
        <v>593</v>
      </c>
      <c r="B278">
        <f>_xlfn.XLOOKUP(A278, 'sqft data'!A:A, 'sqft data'!C:C, "Not Found")</f>
        <v>417</v>
      </c>
      <c r="C278" t="str">
        <f>_xlfn.XLOOKUP(A278, 'bedroom data'!A:A, 'bedroom data'!B:B, "Not Found")</f>
        <v>Studio</v>
      </c>
      <c r="D278">
        <f>_xlfn.XLOOKUP(A278, 'bathroom data'!A:A, 'bathroom data'!B:B, "Not Found")</f>
        <v>1</v>
      </c>
      <c r="E278" t="str">
        <f>_xlfn.XLOOKUP(A278, 'bedroom data'!A:A, 'bedroom data'!C:C, "Not Found")</f>
        <v>Woodley Park</v>
      </c>
      <c r="F278" t="s">
        <v>507</v>
      </c>
      <c r="G278" t="s">
        <v>283</v>
      </c>
      <c r="H278" t="s">
        <v>286</v>
      </c>
      <c r="I278">
        <v>91</v>
      </c>
      <c r="J278" t="s">
        <v>594</v>
      </c>
      <c r="K278" t="s">
        <v>13</v>
      </c>
      <c r="L278" t="s">
        <v>13</v>
      </c>
    </row>
    <row r="279" spans="1:12" x14ac:dyDescent="0.5">
      <c r="A279" t="s">
        <v>593</v>
      </c>
      <c r="B279">
        <f>_xlfn.XLOOKUP(A279, 'sqft data'!A:A, 'sqft data'!C:C, "Not Found")</f>
        <v>417</v>
      </c>
      <c r="C279" t="str">
        <f>_xlfn.XLOOKUP(A279, 'bedroom data'!A:A, 'bedroom data'!B:B, "Not Found")</f>
        <v>Studio</v>
      </c>
      <c r="D279">
        <f>_xlfn.XLOOKUP(A279, 'bathroom data'!A:A, 'bathroom data'!B:B, "Not Found")</f>
        <v>1</v>
      </c>
      <c r="E279" t="str">
        <f>_xlfn.XLOOKUP(A279, 'bedroom data'!A:A, 'bedroom data'!C:C, "Not Found")</f>
        <v>Woodley Park</v>
      </c>
      <c r="F279" t="s">
        <v>507</v>
      </c>
      <c r="G279" t="s">
        <v>323</v>
      </c>
      <c r="H279" t="s">
        <v>424</v>
      </c>
      <c r="I279">
        <v>82</v>
      </c>
      <c r="J279" t="s">
        <v>384</v>
      </c>
      <c r="K279" t="s">
        <v>13</v>
      </c>
      <c r="L279" t="s">
        <v>13</v>
      </c>
    </row>
    <row r="280" spans="1:12" x14ac:dyDescent="0.5">
      <c r="A280" t="s">
        <v>593</v>
      </c>
      <c r="B280">
        <f>_xlfn.XLOOKUP(A280, 'sqft data'!A:A, 'sqft data'!C:C, "Not Found")</f>
        <v>417</v>
      </c>
      <c r="C280" t="str">
        <f>_xlfn.XLOOKUP(A280, 'bedroom data'!A:A, 'bedroom data'!B:B, "Not Found")</f>
        <v>Studio</v>
      </c>
      <c r="D280">
        <f>_xlfn.XLOOKUP(A280, 'bathroom data'!A:A, 'bathroom data'!B:B, "Not Found")</f>
        <v>1</v>
      </c>
      <c r="E280" t="str">
        <f>_xlfn.XLOOKUP(A280, 'bedroom data'!A:A, 'bedroom data'!C:C, "Not Found")</f>
        <v>Woodley Park</v>
      </c>
      <c r="F280" t="s">
        <v>507</v>
      </c>
      <c r="G280" t="s">
        <v>595</v>
      </c>
      <c r="H280" t="s">
        <v>596</v>
      </c>
      <c r="I280">
        <v>80</v>
      </c>
      <c r="J280" t="s">
        <v>597</v>
      </c>
      <c r="K280" t="s">
        <v>13</v>
      </c>
      <c r="L280" t="s">
        <v>13</v>
      </c>
    </row>
    <row r="281" spans="1:12" x14ac:dyDescent="0.5">
      <c r="A281" t="s">
        <v>593</v>
      </c>
      <c r="B281">
        <f>_xlfn.XLOOKUP(A281, 'sqft data'!A:A, 'sqft data'!C:C, "Not Found")</f>
        <v>417</v>
      </c>
      <c r="C281" t="str">
        <f>_xlfn.XLOOKUP(A281, 'bedroom data'!A:A, 'bedroom data'!B:B, "Not Found")</f>
        <v>Studio</v>
      </c>
      <c r="D281">
        <f>_xlfn.XLOOKUP(A281, 'bathroom data'!A:A, 'bathroom data'!B:B, "Not Found")</f>
        <v>1</v>
      </c>
      <c r="E281" t="str">
        <f>_xlfn.XLOOKUP(A281, 'bedroom data'!A:A, 'bedroom data'!C:C, "Not Found")</f>
        <v>Woodley Park</v>
      </c>
      <c r="F281" t="s">
        <v>507</v>
      </c>
      <c r="G281" t="s">
        <v>481</v>
      </c>
      <c r="H281" t="s">
        <v>598</v>
      </c>
      <c r="I281">
        <v>89</v>
      </c>
      <c r="J281" t="s">
        <v>599</v>
      </c>
      <c r="K281" t="s">
        <v>13</v>
      </c>
      <c r="L281" t="s">
        <v>13</v>
      </c>
    </row>
    <row r="282" spans="1:12" x14ac:dyDescent="0.5">
      <c r="A282" t="s">
        <v>593</v>
      </c>
      <c r="B282">
        <f>_xlfn.XLOOKUP(A282, 'sqft data'!A:A, 'sqft data'!C:C, "Not Found")</f>
        <v>417</v>
      </c>
      <c r="C282" t="str">
        <f>_xlfn.XLOOKUP(A282, 'bedroom data'!A:A, 'bedroom data'!B:B, "Not Found")</f>
        <v>Studio</v>
      </c>
      <c r="D282">
        <f>_xlfn.XLOOKUP(A282, 'bathroom data'!A:A, 'bathroom data'!B:B, "Not Found")</f>
        <v>1</v>
      </c>
      <c r="E282" t="str">
        <f>_xlfn.XLOOKUP(A282, 'bedroom data'!A:A, 'bedroom data'!C:C, "Not Found")</f>
        <v>Woodley Park</v>
      </c>
      <c r="F282" t="s">
        <v>507</v>
      </c>
      <c r="G282" t="s">
        <v>600</v>
      </c>
      <c r="H282" t="s">
        <v>83</v>
      </c>
      <c r="I282">
        <v>81</v>
      </c>
      <c r="J282" t="s">
        <v>583</v>
      </c>
      <c r="K282" t="s">
        <v>13</v>
      </c>
      <c r="L282" t="s">
        <v>13</v>
      </c>
    </row>
    <row r="283" spans="1:12" x14ac:dyDescent="0.5">
      <c r="A283" t="s">
        <v>601</v>
      </c>
      <c r="B283">
        <f>_xlfn.XLOOKUP(A283, 'sqft data'!A:A, 'sqft data'!C:C, "Not Found")</f>
        <v>750</v>
      </c>
      <c r="C283">
        <f>_xlfn.XLOOKUP(A283, 'bedroom data'!A:A, 'bedroom data'!B:B, "Not Found")</f>
        <v>1</v>
      </c>
      <c r="D283">
        <f>_xlfn.XLOOKUP(A283, 'bathroom data'!A:A, 'bathroom data'!B:B, "Not Found")</f>
        <v>1</v>
      </c>
      <c r="E283" t="str">
        <f>_xlfn.XLOOKUP(A283, 'bedroom data'!A:A, 'bedroom data'!C:C, "Not Found")</f>
        <v>Woodley Park</v>
      </c>
      <c r="F283" t="s">
        <v>20</v>
      </c>
      <c r="G283" t="s">
        <v>602</v>
      </c>
      <c r="H283" t="s">
        <v>383</v>
      </c>
      <c r="I283">
        <v>121</v>
      </c>
      <c r="J283" t="s">
        <v>169</v>
      </c>
      <c r="K283" t="s">
        <v>36</v>
      </c>
      <c r="L283" t="s">
        <v>13</v>
      </c>
    </row>
    <row r="284" spans="1:12" x14ac:dyDescent="0.5">
      <c r="A284" t="s">
        <v>601</v>
      </c>
      <c r="B284">
        <f>_xlfn.XLOOKUP(A284, 'sqft data'!A:A, 'sqft data'!C:C, "Not Found")</f>
        <v>750</v>
      </c>
      <c r="C284">
        <f>_xlfn.XLOOKUP(A284, 'bedroom data'!A:A, 'bedroom data'!B:B, "Not Found")</f>
        <v>1</v>
      </c>
      <c r="D284">
        <f>_xlfn.XLOOKUP(A284, 'bathroom data'!A:A, 'bathroom data'!B:B, "Not Found")</f>
        <v>1</v>
      </c>
      <c r="E284" t="str">
        <f>_xlfn.XLOOKUP(A284, 'bedroom data'!A:A, 'bedroom data'!C:C, "Not Found")</f>
        <v>Woodley Park</v>
      </c>
      <c r="F284" t="s">
        <v>20</v>
      </c>
      <c r="G284" t="s">
        <v>386</v>
      </c>
      <c r="H284" t="s">
        <v>595</v>
      </c>
      <c r="I284">
        <v>121</v>
      </c>
      <c r="J284" t="s">
        <v>346</v>
      </c>
      <c r="K284" t="s">
        <v>13</v>
      </c>
      <c r="L284" t="s">
        <v>13</v>
      </c>
    </row>
    <row r="285" spans="1:12" x14ac:dyDescent="0.5">
      <c r="A285" t="s">
        <v>601</v>
      </c>
      <c r="B285">
        <f>_xlfn.XLOOKUP(A285, 'sqft data'!A:A, 'sqft data'!C:C, "Not Found")</f>
        <v>750</v>
      </c>
      <c r="C285">
        <f>_xlfn.XLOOKUP(A285, 'bedroom data'!A:A, 'bedroom data'!B:B, "Not Found")</f>
        <v>1</v>
      </c>
      <c r="D285">
        <f>_xlfn.XLOOKUP(A285, 'bathroom data'!A:A, 'bathroom data'!B:B, "Not Found")</f>
        <v>1</v>
      </c>
      <c r="E285" t="str">
        <f>_xlfn.XLOOKUP(A285, 'bedroom data'!A:A, 'bedroom data'!C:C, "Not Found")</f>
        <v>Woodley Park</v>
      </c>
      <c r="F285" t="s">
        <v>20</v>
      </c>
      <c r="G285" t="s">
        <v>266</v>
      </c>
      <c r="H285" t="s">
        <v>518</v>
      </c>
      <c r="I285">
        <v>121</v>
      </c>
      <c r="J285" t="s">
        <v>603</v>
      </c>
      <c r="K285" t="s">
        <v>13</v>
      </c>
      <c r="L285" t="s">
        <v>13</v>
      </c>
    </row>
    <row r="286" spans="1:12" x14ac:dyDescent="0.5">
      <c r="A286" t="s">
        <v>601</v>
      </c>
      <c r="B286">
        <f>_xlfn.XLOOKUP(A286, 'sqft data'!A:A, 'sqft data'!C:C, "Not Found")</f>
        <v>750</v>
      </c>
      <c r="C286">
        <f>_xlfn.XLOOKUP(A286, 'bedroom data'!A:A, 'bedroom data'!B:B, "Not Found")</f>
        <v>1</v>
      </c>
      <c r="D286">
        <f>_xlfn.XLOOKUP(A286, 'bathroom data'!A:A, 'bathroom data'!B:B, "Not Found")</f>
        <v>1</v>
      </c>
      <c r="E286" t="str">
        <f>_xlfn.XLOOKUP(A286, 'bedroom data'!A:A, 'bedroom data'!C:C, "Not Found")</f>
        <v>Woodley Park</v>
      </c>
      <c r="F286" t="s">
        <v>20</v>
      </c>
      <c r="G286" t="s">
        <v>175</v>
      </c>
      <c r="H286" t="s">
        <v>124</v>
      </c>
      <c r="I286">
        <v>121</v>
      </c>
      <c r="J286" t="s">
        <v>548</v>
      </c>
      <c r="K286" t="s">
        <v>13</v>
      </c>
      <c r="L286" t="s">
        <v>13</v>
      </c>
    </row>
    <row r="287" spans="1:12" x14ac:dyDescent="0.5">
      <c r="A287" t="s">
        <v>601</v>
      </c>
      <c r="B287">
        <f>_xlfn.XLOOKUP(A287, 'sqft data'!A:A, 'sqft data'!C:C, "Not Found")</f>
        <v>750</v>
      </c>
      <c r="C287">
        <f>_xlfn.XLOOKUP(A287, 'bedroom data'!A:A, 'bedroom data'!B:B, "Not Found")</f>
        <v>1</v>
      </c>
      <c r="D287">
        <f>_xlfn.XLOOKUP(A287, 'bathroom data'!A:A, 'bathroom data'!B:B, "Not Found")</f>
        <v>1</v>
      </c>
      <c r="E287" t="str">
        <f>_xlfn.XLOOKUP(A287, 'bedroom data'!A:A, 'bedroom data'!C:C, "Not Found")</f>
        <v>Woodley Park</v>
      </c>
      <c r="F287" t="s">
        <v>20</v>
      </c>
      <c r="G287" t="s">
        <v>604</v>
      </c>
      <c r="H287" t="s">
        <v>605</v>
      </c>
      <c r="I287">
        <v>121</v>
      </c>
      <c r="J287" t="s">
        <v>272</v>
      </c>
      <c r="K287" t="s">
        <v>36</v>
      </c>
      <c r="L287" t="s">
        <v>13</v>
      </c>
    </row>
    <row r="288" spans="1:12" x14ac:dyDescent="0.5">
      <c r="A288" t="s">
        <v>606</v>
      </c>
      <c r="B288">
        <f>_xlfn.XLOOKUP(A288, 'sqft data'!A:A, 'sqft data'!C:C, "Not Found")</f>
        <v>450</v>
      </c>
      <c r="C288">
        <f>_xlfn.XLOOKUP(A288, 'bedroom data'!A:A, 'bedroom data'!B:B, "Not Found")</f>
        <v>1</v>
      </c>
      <c r="D288">
        <f>_xlfn.XLOOKUP(A288, 'bathroom data'!A:A, 'bathroom data'!B:B, "Not Found")</f>
        <v>1</v>
      </c>
      <c r="E288" t="str">
        <f>_xlfn.XLOOKUP(A288, 'bedroom data'!A:A, 'bedroom data'!C:C, "Not Found")</f>
        <v>Georgetown</v>
      </c>
      <c r="F288" t="s">
        <v>607</v>
      </c>
      <c r="G288" t="s">
        <v>608</v>
      </c>
      <c r="H288" t="s">
        <v>196</v>
      </c>
      <c r="I288">
        <v>0</v>
      </c>
      <c r="J288" t="s">
        <v>609</v>
      </c>
      <c r="K288" t="s">
        <v>13</v>
      </c>
      <c r="L288" t="s">
        <v>13</v>
      </c>
    </row>
    <row r="289" spans="1:12" x14ac:dyDescent="0.5">
      <c r="A289" t="s">
        <v>606</v>
      </c>
      <c r="B289">
        <f>_xlfn.XLOOKUP(A289, 'sqft data'!A:A, 'sqft data'!C:C, "Not Found")</f>
        <v>450</v>
      </c>
      <c r="C289">
        <f>_xlfn.XLOOKUP(A289, 'bedroom data'!A:A, 'bedroom data'!B:B, "Not Found")</f>
        <v>1</v>
      </c>
      <c r="D289">
        <f>_xlfn.XLOOKUP(A289, 'bathroom data'!A:A, 'bathroom data'!B:B, "Not Found")</f>
        <v>1</v>
      </c>
      <c r="E289" t="str">
        <f>_xlfn.XLOOKUP(A289, 'bedroom data'!A:A, 'bedroom data'!C:C, "Not Found")</f>
        <v>Georgetown</v>
      </c>
      <c r="F289" t="s">
        <v>607</v>
      </c>
      <c r="G289" t="s">
        <v>610</v>
      </c>
      <c r="H289" t="s">
        <v>253</v>
      </c>
      <c r="I289">
        <v>0</v>
      </c>
      <c r="J289" t="s">
        <v>610</v>
      </c>
      <c r="K289" t="s">
        <v>13</v>
      </c>
      <c r="L289" t="s">
        <v>13</v>
      </c>
    </row>
    <row r="290" spans="1:12" x14ac:dyDescent="0.5">
      <c r="A290" t="s">
        <v>611</v>
      </c>
      <c r="B290">
        <f>_xlfn.XLOOKUP(A290, 'sqft data'!A:A, 'sqft data'!C:C, "Not Found")</f>
        <v>450</v>
      </c>
      <c r="C290">
        <f>_xlfn.XLOOKUP(A290, 'bedroom data'!A:A, 'bedroom data'!B:B, "Not Found")</f>
        <v>1</v>
      </c>
      <c r="D290">
        <f>_xlfn.XLOOKUP(A290, 'bathroom data'!A:A, 'bathroom data'!B:B, "Not Found")</f>
        <v>1</v>
      </c>
      <c r="E290" t="str">
        <f>_xlfn.XLOOKUP(A290, 'bedroom data'!A:A, 'bedroom data'!C:C, "Not Found")</f>
        <v>Georgetown</v>
      </c>
      <c r="F290" t="s">
        <v>607</v>
      </c>
      <c r="G290" t="s">
        <v>612</v>
      </c>
      <c r="H290" t="s">
        <v>383</v>
      </c>
      <c r="I290">
        <v>113</v>
      </c>
      <c r="J290" t="s">
        <v>112</v>
      </c>
      <c r="K290" t="s">
        <v>13</v>
      </c>
      <c r="L290" t="s">
        <v>13</v>
      </c>
    </row>
    <row r="291" spans="1:12" x14ac:dyDescent="0.5">
      <c r="A291" t="s">
        <v>611</v>
      </c>
      <c r="B291">
        <f>_xlfn.XLOOKUP(A291, 'sqft data'!A:A, 'sqft data'!C:C, "Not Found")</f>
        <v>450</v>
      </c>
      <c r="C291">
        <f>_xlfn.XLOOKUP(A291, 'bedroom data'!A:A, 'bedroom data'!B:B, "Not Found")</f>
        <v>1</v>
      </c>
      <c r="D291">
        <f>_xlfn.XLOOKUP(A291, 'bathroom data'!A:A, 'bathroom data'!B:B, "Not Found")</f>
        <v>1</v>
      </c>
      <c r="E291" t="str">
        <f>_xlfn.XLOOKUP(A291, 'bedroom data'!A:A, 'bedroom data'!C:C, "Not Found")</f>
        <v>Georgetown</v>
      </c>
      <c r="F291" t="s">
        <v>607</v>
      </c>
      <c r="G291" t="s">
        <v>44</v>
      </c>
      <c r="H291" t="s">
        <v>282</v>
      </c>
      <c r="I291">
        <v>113</v>
      </c>
      <c r="J291" t="s">
        <v>463</v>
      </c>
      <c r="K291" t="s">
        <v>13</v>
      </c>
      <c r="L291" t="s">
        <v>13</v>
      </c>
    </row>
    <row r="292" spans="1:12" x14ac:dyDescent="0.5">
      <c r="A292" t="s">
        <v>611</v>
      </c>
      <c r="B292">
        <f>_xlfn.XLOOKUP(A292, 'sqft data'!A:A, 'sqft data'!C:C, "Not Found")</f>
        <v>450</v>
      </c>
      <c r="C292">
        <f>_xlfn.XLOOKUP(A292, 'bedroom data'!A:A, 'bedroom data'!B:B, "Not Found")</f>
        <v>1</v>
      </c>
      <c r="D292">
        <f>_xlfn.XLOOKUP(A292, 'bathroom data'!A:A, 'bathroom data'!B:B, "Not Found")</f>
        <v>1</v>
      </c>
      <c r="E292" t="str">
        <f>_xlfn.XLOOKUP(A292, 'bedroom data'!A:A, 'bedroom data'!C:C, "Not Found")</f>
        <v>Georgetown</v>
      </c>
      <c r="F292" t="s">
        <v>607</v>
      </c>
      <c r="G292" t="s">
        <v>287</v>
      </c>
      <c r="H292" t="s">
        <v>613</v>
      </c>
      <c r="I292">
        <v>113</v>
      </c>
      <c r="J292" t="s">
        <v>210</v>
      </c>
      <c r="K292" t="s">
        <v>13</v>
      </c>
      <c r="L292" t="s">
        <v>13</v>
      </c>
    </row>
    <row r="293" spans="1:12" x14ac:dyDescent="0.5">
      <c r="A293" t="s">
        <v>611</v>
      </c>
      <c r="B293">
        <f>_xlfn.XLOOKUP(A293, 'sqft data'!A:A, 'sqft data'!C:C, "Not Found")</f>
        <v>450</v>
      </c>
      <c r="C293">
        <f>_xlfn.XLOOKUP(A293, 'bedroom data'!A:A, 'bedroom data'!B:B, "Not Found")</f>
        <v>1</v>
      </c>
      <c r="D293">
        <f>_xlfn.XLOOKUP(A293, 'bathroom data'!A:A, 'bathroom data'!B:B, "Not Found")</f>
        <v>1</v>
      </c>
      <c r="E293" t="str">
        <f>_xlfn.XLOOKUP(A293, 'bedroom data'!A:A, 'bedroom data'!C:C, "Not Found")</f>
        <v>Georgetown</v>
      </c>
      <c r="F293" t="s">
        <v>607</v>
      </c>
      <c r="G293" t="s">
        <v>532</v>
      </c>
      <c r="H293" t="s">
        <v>261</v>
      </c>
      <c r="I293">
        <v>117</v>
      </c>
      <c r="J293" t="s">
        <v>120</v>
      </c>
      <c r="K293" t="s">
        <v>13</v>
      </c>
      <c r="L293" t="s">
        <v>13</v>
      </c>
    </row>
    <row r="294" spans="1:12" x14ac:dyDescent="0.5">
      <c r="A294" t="s">
        <v>611</v>
      </c>
      <c r="B294">
        <f>_xlfn.XLOOKUP(A294, 'sqft data'!A:A, 'sqft data'!C:C, "Not Found")</f>
        <v>450</v>
      </c>
      <c r="C294">
        <f>_xlfn.XLOOKUP(A294, 'bedroom data'!A:A, 'bedroom data'!B:B, "Not Found")</f>
        <v>1</v>
      </c>
      <c r="D294">
        <f>_xlfn.XLOOKUP(A294, 'bathroom data'!A:A, 'bathroom data'!B:B, "Not Found")</f>
        <v>1</v>
      </c>
      <c r="E294" t="str">
        <f>_xlfn.XLOOKUP(A294, 'bedroom data'!A:A, 'bedroom data'!C:C, "Not Found")</f>
        <v>Georgetown</v>
      </c>
      <c r="F294" t="s">
        <v>607</v>
      </c>
      <c r="G294" t="s">
        <v>219</v>
      </c>
      <c r="H294" t="s">
        <v>583</v>
      </c>
      <c r="I294">
        <v>109</v>
      </c>
      <c r="J294" t="s">
        <v>145</v>
      </c>
      <c r="K294" t="s">
        <v>13</v>
      </c>
      <c r="L294" t="s">
        <v>13</v>
      </c>
    </row>
    <row r="295" spans="1:12" x14ac:dyDescent="0.5">
      <c r="A295" t="s">
        <v>611</v>
      </c>
      <c r="B295">
        <f>_xlfn.XLOOKUP(A295, 'sqft data'!A:A, 'sqft data'!C:C, "Not Found")</f>
        <v>450</v>
      </c>
      <c r="C295">
        <f>_xlfn.XLOOKUP(A295, 'bedroom data'!A:A, 'bedroom data'!B:B, "Not Found")</f>
        <v>1</v>
      </c>
      <c r="D295">
        <f>_xlfn.XLOOKUP(A295, 'bathroom data'!A:A, 'bathroom data'!B:B, "Not Found")</f>
        <v>1</v>
      </c>
      <c r="E295" t="str">
        <f>_xlfn.XLOOKUP(A295, 'bedroom data'!A:A, 'bedroom data'!C:C, "Not Found")</f>
        <v>Georgetown</v>
      </c>
      <c r="F295" t="s">
        <v>607</v>
      </c>
      <c r="G295" t="s">
        <v>614</v>
      </c>
      <c r="H295" t="s">
        <v>615</v>
      </c>
      <c r="I295">
        <v>117</v>
      </c>
      <c r="J295" t="s">
        <v>562</v>
      </c>
      <c r="K295" t="s">
        <v>13</v>
      </c>
      <c r="L295" t="s">
        <v>13</v>
      </c>
    </row>
    <row r="296" spans="1:12" x14ac:dyDescent="0.5">
      <c r="A296" t="s">
        <v>611</v>
      </c>
      <c r="B296">
        <f>_xlfn.XLOOKUP(A296, 'sqft data'!A:A, 'sqft data'!C:C, "Not Found")</f>
        <v>450</v>
      </c>
      <c r="C296">
        <f>_xlfn.XLOOKUP(A296, 'bedroom data'!A:A, 'bedroom data'!B:B, "Not Found")</f>
        <v>1</v>
      </c>
      <c r="D296">
        <f>_xlfn.XLOOKUP(A296, 'bathroom data'!A:A, 'bathroom data'!B:B, "Not Found")</f>
        <v>1</v>
      </c>
      <c r="E296" t="str">
        <f>_xlfn.XLOOKUP(A296, 'bedroom data'!A:A, 'bedroom data'!C:C, "Not Found")</f>
        <v>Georgetown</v>
      </c>
      <c r="F296" t="s">
        <v>607</v>
      </c>
      <c r="G296" t="s">
        <v>616</v>
      </c>
      <c r="H296" t="s">
        <v>617</v>
      </c>
      <c r="I296">
        <v>117</v>
      </c>
      <c r="J296" t="s">
        <v>547</v>
      </c>
      <c r="K296" t="s">
        <v>13</v>
      </c>
      <c r="L296" t="s">
        <v>13</v>
      </c>
    </row>
    <row r="297" spans="1:12" x14ac:dyDescent="0.5">
      <c r="A297" t="s">
        <v>618</v>
      </c>
      <c r="B297">
        <f>_xlfn.XLOOKUP(A297, 'sqft data'!A:A, 'sqft data'!C:C, "Not Found")</f>
        <v>529</v>
      </c>
      <c r="C297" t="str">
        <f>_xlfn.XLOOKUP(A297, 'bedroom data'!A:A, 'bedroom data'!B:B, "Not Found")</f>
        <v>Studio</v>
      </c>
      <c r="D297">
        <f>_xlfn.XLOOKUP(A297, 'bathroom data'!A:A, 'bathroom data'!B:B, "Not Found")</f>
        <v>1</v>
      </c>
      <c r="E297" t="str">
        <f>_xlfn.XLOOKUP(A297, 'bedroom data'!A:A, 'bedroom data'!C:C, "Not Found")</f>
        <v>Cleveland Park</v>
      </c>
      <c r="F297" t="s">
        <v>619</v>
      </c>
      <c r="G297" t="s">
        <v>620</v>
      </c>
      <c r="H297" t="s">
        <v>385</v>
      </c>
      <c r="I297">
        <v>75</v>
      </c>
      <c r="J297" t="s">
        <v>621</v>
      </c>
      <c r="K297" t="s">
        <v>13</v>
      </c>
      <c r="L297" t="s">
        <v>13</v>
      </c>
    </row>
    <row r="298" spans="1:12" x14ac:dyDescent="0.5">
      <c r="A298" t="s">
        <v>618</v>
      </c>
      <c r="B298">
        <f>_xlfn.XLOOKUP(A298, 'sqft data'!A:A, 'sqft data'!C:C, "Not Found")</f>
        <v>529</v>
      </c>
      <c r="C298" t="str">
        <f>_xlfn.XLOOKUP(A298, 'bedroom data'!A:A, 'bedroom data'!B:B, "Not Found")</f>
        <v>Studio</v>
      </c>
      <c r="D298">
        <f>_xlfn.XLOOKUP(A298, 'bathroom data'!A:A, 'bathroom data'!B:B, "Not Found")</f>
        <v>1</v>
      </c>
      <c r="E298" t="str">
        <f>_xlfn.XLOOKUP(A298, 'bedroom data'!A:A, 'bedroom data'!C:C, "Not Found")</f>
        <v>Cleveland Park</v>
      </c>
      <c r="F298" t="s">
        <v>619</v>
      </c>
      <c r="G298" t="s">
        <v>442</v>
      </c>
      <c r="H298" t="s">
        <v>499</v>
      </c>
      <c r="I298">
        <v>0</v>
      </c>
      <c r="J298" t="s">
        <v>442</v>
      </c>
      <c r="K298" t="s">
        <v>13</v>
      </c>
      <c r="L298" t="s">
        <v>13</v>
      </c>
    </row>
    <row r="299" spans="1:12" x14ac:dyDescent="0.5">
      <c r="A299" t="s">
        <v>618</v>
      </c>
      <c r="B299">
        <f>_xlfn.XLOOKUP(A299, 'sqft data'!A:A, 'sqft data'!C:C, "Not Found")</f>
        <v>529</v>
      </c>
      <c r="C299" t="str">
        <f>_xlfn.XLOOKUP(A299, 'bedroom data'!A:A, 'bedroom data'!B:B, "Not Found")</f>
        <v>Studio</v>
      </c>
      <c r="D299">
        <f>_xlfn.XLOOKUP(A299, 'bathroom data'!A:A, 'bathroom data'!B:B, "Not Found")</f>
        <v>1</v>
      </c>
      <c r="E299" t="str">
        <f>_xlfn.XLOOKUP(A299, 'bedroom data'!A:A, 'bedroom data'!C:C, "Not Found")</f>
        <v>Cleveland Park</v>
      </c>
      <c r="F299" t="s">
        <v>619</v>
      </c>
      <c r="G299" t="s">
        <v>585</v>
      </c>
      <c r="H299" t="s">
        <v>107</v>
      </c>
      <c r="I299">
        <v>0</v>
      </c>
      <c r="J299" t="s">
        <v>585</v>
      </c>
      <c r="K299" t="s">
        <v>13</v>
      </c>
      <c r="L299" t="s">
        <v>13</v>
      </c>
    </row>
    <row r="300" spans="1:12" x14ac:dyDescent="0.5">
      <c r="A300" t="s">
        <v>622</v>
      </c>
      <c r="B300" t="str">
        <f>_xlfn.XLOOKUP(A300, 'sqft data'!A:A, 'sqft data'!C:C, "Not Found")</f>
        <v>Not Found</v>
      </c>
      <c r="C300">
        <f>_xlfn.XLOOKUP(A300, 'bedroom data'!A:A, 'bedroom data'!B:B, "Not Found")</f>
        <v>3</v>
      </c>
      <c r="D300">
        <f>_xlfn.XLOOKUP(A300, 'bathroom data'!A:A, 'bathroom data'!B:B, "Not Found")</f>
        <v>3</v>
      </c>
      <c r="E300" t="str">
        <f>_xlfn.XLOOKUP(A300, 'bedroom data'!A:A, 'bedroom data'!C:C, "Not Found")</f>
        <v>Adams Morgan</v>
      </c>
      <c r="F300" t="s">
        <v>43</v>
      </c>
      <c r="G300" t="s">
        <v>447</v>
      </c>
      <c r="H300" t="s">
        <v>623</v>
      </c>
      <c r="I300">
        <v>400</v>
      </c>
      <c r="J300" t="s">
        <v>184</v>
      </c>
      <c r="K300" t="s">
        <v>36</v>
      </c>
      <c r="L300" t="s">
        <v>13</v>
      </c>
    </row>
    <row r="301" spans="1:12" x14ac:dyDescent="0.5">
      <c r="A301" t="s">
        <v>624</v>
      </c>
      <c r="B301">
        <f>_xlfn.XLOOKUP(A301, 'sqft data'!A:A, 'sqft data'!C:C, "Not Found")</f>
        <v>760</v>
      </c>
      <c r="C301">
        <f>_xlfn.XLOOKUP(A301, 'bedroom data'!A:A, 'bedroom data'!B:B, "Not Found")</f>
        <v>1</v>
      </c>
      <c r="D301">
        <f>_xlfn.XLOOKUP(A301, 'bathroom data'!A:A, 'bathroom data'!B:B, "Not Found")</f>
        <v>1</v>
      </c>
      <c r="E301" t="str">
        <f>_xlfn.XLOOKUP(A301, 'bedroom data'!A:A, 'bedroom data'!C:C, "Not Found")</f>
        <v>Glover Park</v>
      </c>
      <c r="F301" t="s">
        <v>625</v>
      </c>
      <c r="G301" t="s">
        <v>626</v>
      </c>
      <c r="H301" t="s">
        <v>626</v>
      </c>
      <c r="I301">
        <v>109.25</v>
      </c>
      <c r="J301" t="s">
        <v>626</v>
      </c>
      <c r="K301" t="s">
        <v>13</v>
      </c>
      <c r="L301" t="s">
        <v>13</v>
      </c>
    </row>
    <row r="302" spans="1:12" x14ac:dyDescent="0.5">
      <c r="A302" t="s">
        <v>624</v>
      </c>
      <c r="B302">
        <f>_xlfn.XLOOKUP(A302, 'sqft data'!A:A, 'sqft data'!C:C, "Not Found")</f>
        <v>760</v>
      </c>
      <c r="C302">
        <f>_xlfn.XLOOKUP(A302, 'bedroom data'!A:A, 'bedroom data'!B:B, "Not Found")</f>
        <v>1</v>
      </c>
      <c r="D302">
        <f>_xlfn.XLOOKUP(A302, 'bathroom data'!A:A, 'bathroom data'!B:B, "Not Found")</f>
        <v>1</v>
      </c>
      <c r="E302" t="str">
        <f>_xlfn.XLOOKUP(A302, 'bedroom data'!A:A, 'bedroom data'!C:C, "Not Found")</f>
        <v>Glover Park</v>
      </c>
      <c r="F302" t="s">
        <v>625</v>
      </c>
      <c r="G302" t="s">
        <v>596</v>
      </c>
      <c r="H302" t="s">
        <v>627</v>
      </c>
      <c r="I302">
        <v>120</v>
      </c>
      <c r="J302" t="s">
        <v>628</v>
      </c>
      <c r="K302" t="s">
        <v>13</v>
      </c>
      <c r="L302" t="s">
        <v>13</v>
      </c>
    </row>
    <row r="303" spans="1:12" x14ac:dyDescent="0.5">
      <c r="A303" t="s">
        <v>629</v>
      </c>
      <c r="B303" t="str">
        <f>_xlfn.XLOOKUP(A303, 'sqft data'!A:A, 'sqft data'!C:C, "Not Found")</f>
        <v>Not Found</v>
      </c>
      <c r="C303">
        <f>_xlfn.XLOOKUP(A303, 'bedroom data'!A:A, 'bedroom data'!B:B, "Not Found")</f>
        <v>1</v>
      </c>
      <c r="D303">
        <f>_xlfn.XLOOKUP(A303, 'bathroom data'!A:A, 'bathroom data'!B:B, "Not Found")</f>
        <v>1</v>
      </c>
      <c r="E303" t="str">
        <f>_xlfn.XLOOKUP(A303, 'bedroom data'!A:A, 'bedroom data'!C:C, "Not Found")</f>
        <v>Adams Morgan</v>
      </c>
      <c r="F303" t="s">
        <v>371</v>
      </c>
      <c r="G303" t="s">
        <v>630</v>
      </c>
      <c r="H303" t="s">
        <v>145</v>
      </c>
      <c r="I303">
        <v>73.33</v>
      </c>
      <c r="J303" t="s">
        <v>631</v>
      </c>
      <c r="K303" t="s">
        <v>13</v>
      </c>
      <c r="L303" t="s">
        <v>13</v>
      </c>
    </row>
    <row r="304" spans="1:12" x14ac:dyDescent="0.5">
      <c r="A304" t="s">
        <v>629</v>
      </c>
      <c r="B304" t="str">
        <f>_xlfn.XLOOKUP(A304, 'sqft data'!A:A, 'sqft data'!C:C, "Not Found")</f>
        <v>Not Found</v>
      </c>
      <c r="C304">
        <f>_xlfn.XLOOKUP(A304, 'bedroom data'!A:A, 'bedroom data'!B:B, "Not Found")</f>
        <v>1</v>
      </c>
      <c r="D304">
        <f>_xlfn.XLOOKUP(A304, 'bathroom data'!A:A, 'bathroom data'!B:B, "Not Found")</f>
        <v>1</v>
      </c>
      <c r="E304" t="str">
        <f>_xlfn.XLOOKUP(A304, 'bedroom data'!A:A, 'bedroom data'!C:C, "Not Found")</f>
        <v>Adams Morgan</v>
      </c>
      <c r="F304" t="s">
        <v>371</v>
      </c>
      <c r="G304" t="s">
        <v>632</v>
      </c>
      <c r="H304" t="s">
        <v>633</v>
      </c>
      <c r="I304">
        <v>66.66</v>
      </c>
      <c r="J304" t="s">
        <v>634</v>
      </c>
      <c r="K304" t="s">
        <v>13</v>
      </c>
      <c r="L304" t="s">
        <v>36</v>
      </c>
    </row>
    <row r="305" spans="1:12" x14ac:dyDescent="0.5">
      <c r="A305" t="s">
        <v>635</v>
      </c>
      <c r="B305" t="str">
        <f>_xlfn.XLOOKUP(A305, 'sqft data'!A:A, 'sqft data'!C:C, "Not Found")</f>
        <v>Not Found</v>
      </c>
      <c r="C305" t="str">
        <f>_xlfn.XLOOKUP(A305, 'bedroom data'!A:A, 'bedroom data'!B:B, "Not Found")</f>
        <v>Studio</v>
      </c>
      <c r="D305">
        <f>_xlfn.XLOOKUP(A305, 'bathroom data'!A:A, 'bathroom data'!B:B, "Not Found")</f>
        <v>1</v>
      </c>
      <c r="E305" t="str">
        <f>_xlfn.XLOOKUP(A305, 'bedroom data'!A:A, 'bedroom data'!C:C, "Not Found")</f>
        <v>Georgetown</v>
      </c>
      <c r="F305" t="s">
        <v>636</v>
      </c>
      <c r="G305" t="s">
        <v>408</v>
      </c>
      <c r="H305" t="s">
        <v>192</v>
      </c>
      <c r="I305">
        <v>0</v>
      </c>
      <c r="J305" t="s">
        <v>408</v>
      </c>
      <c r="K305" t="s">
        <v>13</v>
      </c>
      <c r="L305" t="s">
        <v>13</v>
      </c>
    </row>
    <row r="306" spans="1:12" x14ac:dyDescent="0.5">
      <c r="A306" t="s">
        <v>635</v>
      </c>
      <c r="B306" t="str">
        <f>_xlfn.XLOOKUP(A306, 'sqft data'!A:A, 'sqft data'!C:C, "Not Found")</f>
        <v>Not Found</v>
      </c>
      <c r="C306" t="str">
        <f>_xlfn.XLOOKUP(A306, 'bedroom data'!A:A, 'bedroom data'!B:B, "Not Found")</f>
        <v>Studio</v>
      </c>
      <c r="D306">
        <f>_xlfn.XLOOKUP(A306, 'bathroom data'!A:A, 'bathroom data'!B:B, "Not Found")</f>
        <v>1</v>
      </c>
      <c r="E306" t="str">
        <f>_xlfn.XLOOKUP(A306, 'bedroom data'!A:A, 'bedroom data'!C:C, "Not Found")</f>
        <v>Georgetown</v>
      </c>
      <c r="F306" t="s">
        <v>636</v>
      </c>
      <c r="G306" t="s">
        <v>40</v>
      </c>
      <c r="H306" t="s">
        <v>637</v>
      </c>
      <c r="I306">
        <v>100</v>
      </c>
      <c r="J306" t="s">
        <v>303</v>
      </c>
      <c r="K306" t="s">
        <v>13</v>
      </c>
      <c r="L306" t="s">
        <v>13</v>
      </c>
    </row>
    <row r="307" spans="1:12" x14ac:dyDescent="0.5">
      <c r="A307" t="s">
        <v>635</v>
      </c>
      <c r="B307" t="str">
        <f>_xlfn.XLOOKUP(A307, 'sqft data'!A:A, 'sqft data'!C:C, "Not Found")</f>
        <v>Not Found</v>
      </c>
      <c r="C307" t="str">
        <f>_xlfn.XLOOKUP(A307, 'bedroom data'!A:A, 'bedroom data'!B:B, "Not Found")</f>
        <v>Studio</v>
      </c>
      <c r="D307">
        <f>_xlfn.XLOOKUP(A307, 'bathroom data'!A:A, 'bathroom data'!B:B, "Not Found")</f>
        <v>1</v>
      </c>
      <c r="E307" t="str">
        <f>_xlfn.XLOOKUP(A307, 'bedroom data'!A:A, 'bedroom data'!C:C, "Not Found")</f>
        <v>Georgetown</v>
      </c>
      <c r="F307" t="s">
        <v>636</v>
      </c>
      <c r="G307" t="s">
        <v>582</v>
      </c>
      <c r="H307" t="s">
        <v>199</v>
      </c>
      <c r="I307">
        <v>0</v>
      </c>
      <c r="J307" t="s">
        <v>546</v>
      </c>
      <c r="K307" t="s">
        <v>13</v>
      </c>
      <c r="L307" t="s">
        <v>13</v>
      </c>
    </row>
    <row r="308" spans="1:12" x14ac:dyDescent="0.5">
      <c r="A308" t="s">
        <v>638</v>
      </c>
      <c r="B308">
        <f>_xlfn.XLOOKUP(A308, 'sqft data'!A:A, 'sqft data'!C:C, "Not Found")</f>
        <v>750</v>
      </c>
      <c r="C308">
        <f>_xlfn.XLOOKUP(A308, 'bedroom data'!A:A, 'bedroom data'!B:B, "Not Found")</f>
        <v>1</v>
      </c>
      <c r="D308">
        <f>_xlfn.XLOOKUP(A308, 'bathroom data'!A:A, 'bathroom data'!B:B, "Not Found")</f>
        <v>1.5</v>
      </c>
      <c r="E308" t="str">
        <f>_xlfn.XLOOKUP(A308, 'bedroom data'!A:A, 'bedroom data'!C:C, "Not Found")</f>
        <v>Dupont /WestEnd</v>
      </c>
      <c r="F308" t="s">
        <v>639</v>
      </c>
      <c r="G308" t="s">
        <v>640</v>
      </c>
      <c r="H308" t="s">
        <v>251</v>
      </c>
      <c r="I308">
        <v>120</v>
      </c>
      <c r="J308" t="s">
        <v>306</v>
      </c>
      <c r="K308" t="s">
        <v>13</v>
      </c>
      <c r="L308" t="s">
        <v>13</v>
      </c>
    </row>
    <row r="309" spans="1:12" x14ac:dyDescent="0.5">
      <c r="A309" t="s">
        <v>638</v>
      </c>
      <c r="B309">
        <f>_xlfn.XLOOKUP(A309, 'sqft data'!A:A, 'sqft data'!C:C, "Not Found")</f>
        <v>750</v>
      </c>
      <c r="C309">
        <f>_xlfn.XLOOKUP(A309, 'bedroom data'!A:A, 'bedroom data'!B:B, "Not Found")</f>
        <v>1</v>
      </c>
      <c r="D309">
        <f>_xlfn.XLOOKUP(A309, 'bathroom data'!A:A, 'bathroom data'!B:B, "Not Found")</f>
        <v>1.5</v>
      </c>
      <c r="E309" t="str">
        <f>_xlfn.XLOOKUP(A309, 'bedroom data'!A:A, 'bedroom data'!C:C, "Not Found")</f>
        <v>Dupont /WestEnd</v>
      </c>
      <c r="F309" t="s">
        <v>639</v>
      </c>
      <c r="G309" t="s">
        <v>641</v>
      </c>
      <c r="H309" t="s">
        <v>267</v>
      </c>
      <c r="I309">
        <v>120</v>
      </c>
      <c r="J309" t="s">
        <v>214</v>
      </c>
      <c r="K309" t="s">
        <v>36</v>
      </c>
      <c r="L309" t="s">
        <v>36</v>
      </c>
    </row>
    <row r="310" spans="1:12" x14ac:dyDescent="0.5">
      <c r="A310" t="s">
        <v>638</v>
      </c>
      <c r="B310">
        <f>_xlfn.XLOOKUP(A310, 'sqft data'!A:A, 'sqft data'!C:C, "Not Found")</f>
        <v>750</v>
      </c>
      <c r="C310">
        <f>_xlfn.XLOOKUP(A310, 'bedroom data'!A:A, 'bedroom data'!B:B, "Not Found")</f>
        <v>1</v>
      </c>
      <c r="D310">
        <f>_xlfn.XLOOKUP(A310, 'bathroom data'!A:A, 'bathroom data'!B:B, "Not Found")</f>
        <v>1.5</v>
      </c>
      <c r="E310" t="str">
        <f>_xlfn.XLOOKUP(A310, 'bedroom data'!A:A, 'bedroom data'!C:C, "Not Found")</f>
        <v>Dupont /WestEnd</v>
      </c>
      <c r="F310" t="s">
        <v>639</v>
      </c>
      <c r="G310" t="s">
        <v>541</v>
      </c>
      <c r="H310" t="s">
        <v>124</v>
      </c>
      <c r="I310">
        <v>129</v>
      </c>
      <c r="J310" t="s">
        <v>642</v>
      </c>
      <c r="K310" t="s">
        <v>13</v>
      </c>
      <c r="L310" t="s">
        <v>13</v>
      </c>
    </row>
    <row r="311" spans="1:12" x14ac:dyDescent="0.5">
      <c r="A311" t="s">
        <v>643</v>
      </c>
      <c r="B311">
        <f>_xlfn.XLOOKUP(A311, 'sqft data'!A:A, 'sqft data'!C:C, "Not Found")</f>
        <v>1002</v>
      </c>
      <c r="C311">
        <f>_xlfn.XLOOKUP(A311, 'bedroom data'!A:A, 'bedroom data'!B:B, "Not Found")</f>
        <v>2</v>
      </c>
      <c r="D311">
        <f>_xlfn.XLOOKUP(A311, 'bathroom data'!A:A, 'bathroom data'!B:B, "Not Found")</f>
        <v>2</v>
      </c>
      <c r="E311" t="str">
        <f>_xlfn.XLOOKUP(A311, 'bedroom data'!A:A, 'bedroom data'!C:C, "Not Found")</f>
        <v>Adams Morgan</v>
      </c>
      <c r="F311" t="s">
        <v>644</v>
      </c>
      <c r="G311" t="s">
        <v>645</v>
      </c>
      <c r="H311" t="s">
        <v>133</v>
      </c>
      <c r="I311">
        <v>206</v>
      </c>
      <c r="J311" t="s">
        <v>181</v>
      </c>
      <c r="K311" t="s">
        <v>36</v>
      </c>
      <c r="L311" t="s">
        <v>13</v>
      </c>
    </row>
    <row r="312" spans="1:12" x14ac:dyDescent="0.5">
      <c r="A312" t="s">
        <v>643</v>
      </c>
      <c r="B312">
        <f>_xlfn.XLOOKUP(A312, 'sqft data'!A:A, 'sqft data'!C:C, "Not Found")</f>
        <v>1002</v>
      </c>
      <c r="C312">
        <f>_xlfn.XLOOKUP(A312, 'bedroom data'!A:A, 'bedroom data'!B:B, "Not Found")</f>
        <v>2</v>
      </c>
      <c r="D312">
        <f>_xlfn.XLOOKUP(A312, 'bathroom data'!A:A, 'bathroom data'!B:B, "Not Found")</f>
        <v>2</v>
      </c>
      <c r="E312" t="str">
        <f>_xlfn.XLOOKUP(A312, 'bedroom data'!A:A, 'bedroom data'!C:C, "Not Found")</f>
        <v>Adams Morgan</v>
      </c>
      <c r="F312" t="s">
        <v>644</v>
      </c>
      <c r="G312" t="s">
        <v>133</v>
      </c>
      <c r="H312" t="s">
        <v>40</v>
      </c>
      <c r="I312">
        <v>216</v>
      </c>
      <c r="J312" t="s">
        <v>646</v>
      </c>
      <c r="K312" t="s">
        <v>13</v>
      </c>
      <c r="L312" t="s">
        <v>13</v>
      </c>
    </row>
    <row r="313" spans="1:12" x14ac:dyDescent="0.5">
      <c r="A313" t="s">
        <v>643</v>
      </c>
      <c r="B313">
        <f>_xlfn.XLOOKUP(A313, 'sqft data'!A:A, 'sqft data'!C:C, "Not Found")</f>
        <v>1002</v>
      </c>
      <c r="C313">
        <f>_xlfn.XLOOKUP(A313, 'bedroom data'!A:A, 'bedroom data'!B:B, "Not Found")</f>
        <v>2</v>
      </c>
      <c r="D313">
        <f>_xlfn.XLOOKUP(A313, 'bathroom data'!A:A, 'bathroom data'!B:B, "Not Found")</f>
        <v>2</v>
      </c>
      <c r="E313" t="str">
        <f>_xlfn.XLOOKUP(A313, 'bedroom data'!A:A, 'bedroom data'!C:C, "Not Found")</f>
        <v>Adams Morgan</v>
      </c>
      <c r="F313" t="s">
        <v>644</v>
      </c>
      <c r="G313" t="s">
        <v>647</v>
      </c>
      <c r="H313" t="s">
        <v>478</v>
      </c>
      <c r="I313">
        <v>199</v>
      </c>
      <c r="J313" t="s">
        <v>648</v>
      </c>
      <c r="K313" t="s">
        <v>13</v>
      </c>
      <c r="L313" t="s">
        <v>13</v>
      </c>
    </row>
    <row r="314" spans="1:12" x14ac:dyDescent="0.5">
      <c r="A314" t="s">
        <v>643</v>
      </c>
      <c r="B314">
        <f>_xlfn.XLOOKUP(A314, 'sqft data'!A:A, 'sqft data'!C:C, "Not Found")</f>
        <v>1002</v>
      </c>
      <c r="C314">
        <f>_xlfn.XLOOKUP(A314, 'bedroom data'!A:A, 'bedroom data'!B:B, "Not Found")</f>
        <v>2</v>
      </c>
      <c r="D314">
        <f>_xlfn.XLOOKUP(A314, 'bathroom data'!A:A, 'bathroom data'!B:B, "Not Found")</f>
        <v>2</v>
      </c>
      <c r="E314" t="str">
        <f>_xlfn.XLOOKUP(A314, 'bedroom data'!A:A, 'bedroom data'!C:C, "Not Found")</f>
        <v>Adams Morgan</v>
      </c>
      <c r="F314" t="s">
        <v>644</v>
      </c>
      <c r="G314" t="s">
        <v>649</v>
      </c>
      <c r="H314" t="s">
        <v>650</v>
      </c>
      <c r="I314">
        <v>0</v>
      </c>
      <c r="J314" t="s">
        <v>649</v>
      </c>
      <c r="K314" t="s">
        <v>13</v>
      </c>
      <c r="L314" t="s">
        <v>13</v>
      </c>
    </row>
    <row r="315" spans="1:12" x14ac:dyDescent="0.5">
      <c r="A315" t="s">
        <v>643</v>
      </c>
      <c r="B315">
        <f>_xlfn.XLOOKUP(A315, 'sqft data'!A:A, 'sqft data'!C:C, "Not Found")</f>
        <v>1002</v>
      </c>
      <c r="C315">
        <f>_xlfn.XLOOKUP(A315, 'bedroom data'!A:A, 'bedroom data'!B:B, "Not Found")</f>
        <v>2</v>
      </c>
      <c r="D315">
        <f>_xlfn.XLOOKUP(A315, 'bathroom data'!A:A, 'bathroom data'!B:B, "Not Found")</f>
        <v>2</v>
      </c>
      <c r="E315" t="str">
        <f>_xlfn.XLOOKUP(A315, 'bedroom data'!A:A, 'bedroom data'!C:C, "Not Found")</f>
        <v>Adams Morgan</v>
      </c>
      <c r="F315" t="s">
        <v>644</v>
      </c>
      <c r="G315" t="s">
        <v>599</v>
      </c>
      <c r="H315" t="s">
        <v>651</v>
      </c>
      <c r="I315">
        <v>199</v>
      </c>
      <c r="J315" t="s">
        <v>184</v>
      </c>
      <c r="K315" t="s">
        <v>13</v>
      </c>
      <c r="L315" t="s">
        <v>13</v>
      </c>
    </row>
    <row r="316" spans="1:12" x14ac:dyDescent="0.5">
      <c r="A316" t="s">
        <v>652</v>
      </c>
      <c r="B316" t="str">
        <f>_xlfn.XLOOKUP(A316, 'sqft data'!A:A, 'sqft data'!C:C, "Not Found")</f>
        <v>Not Found</v>
      </c>
      <c r="C316">
        <f>_xlfn.XLOOKUP(A316, 'bedroom data'!A:A, 'bedroom data'!B:B, "Not Found")</f>
        <v>2</v>
      </c>
      <c r="D316">
        <f>_xlfn.XLOOKUP(A316, 'bathroom data'!A:A, 'bathroom data'!B:B, "Not Found")</f>
        <v>1</v>
      </c>
      <c r="E316" t="str">
        <f>_xlfn.XLOOKUP(A316, 'bedroom data'!A:A, 'bedroom data'!C:C, "Not Found")</f>
        <v>Adams Morgan</v>
      </c>
      <c r="F316" t="s">
        <v>653</v>
      </c>
      <c r="G316" t="s">
        <v>191</v>
      </c>
      <c r="H316" t="s">
        <v>133</v>
      </c>
      <c r="I316">
        <v>137</v>
      </c>
      <c r="J316" t="s">
        <v>299</v>
      </c>
      <c r="K316" t="s">
        <v>13</v>
      </c>
      <c r="L316" t="s">
        <v>13</v>
      </c>
    </row>
    <row r="317" spans="1:12" x14ac:dyDescent="0.5">
      <c r="A317" t="s">
        <v>652</v>
      </c>
      <c r="B317" t="str">
        <f>_xlfn.XLOOKUP(A317, 'sqft data'!A:A, 'sqft data'!C:C, "Not Found")</f>
        <v>Not Found</v>
      </c>
      <c r="C317">
        <f>_xlfn.XLOOKUP(A317, 'bedroom data'!A:A, 'bedroom data'!B:B, "Not Found")</f>
        <v>2</v>
      </c>
      <c r="D317">
        <f>_xlfn.XLOOKUP(A317, 'bathroom data'!A:A, 'bathroom data'!B:B, "Not Found")</f>
        <v>1</v>
      </c>
      <c r="E317" t="str">
        <f>_xlfn.XLOOKUP(A317, 'bedroom data'!A:A, 'bedroom data'!C:C, "Not Found")</f>
        <v>Adams Morgan</v>
      </c>
      <c r="F317" t="s">
        <v>653</v>
      </c>
      <c r="G317" t="s">
        <v>432</v>
      </c>
      <c r="H317" t="s">
        <v>266</v>
      </c>
      <c r="I317">
        <v>0</v>
      </c>
      <c r="J317" t="s">
        <v>432</v>
      </c>
      <c r="K317" t="s">
        <v>13</v>
      </c>
      <c r="L317" t="s">
        <v>13</v>
      </c>
    </row>
    <row r="318" spans="1:12" x14ac:dyDescent="0.5">
      <c r="A318" t="s">
        <v>654</v>
      </c>
      <c r="B318" t="str">
        <f>_xlfn.XLOOKUP(A318, 'sqft data'!A:A, 'sqft data'!C:C, "Not Found")</f>
        <v>Not Found</v>
      </c>
      <c r="C318">
        <f>_xlfn.XLOOKUP(A318, 'bedroom data'!A:A, 'bedroom data'!B:B, "Not Found")</f>
        <v>2</v>
      </c>
      <c r="D318">
        <f>_xlfn.XLOOKUP(A318, 'bathroom data'!A:A, 'bathroom data'!B:B, "Not Found")</f>
        <v>1</v>
      </c>
      <c r="E318" t="str">
        <f>_xlfn.XLOOKUP(A318, 'bedroom data'!A:A, 'bedroom data'!C:C, "Not Found")</f>
        <v>Adams Morgan</v>
      </c>
      <c r="F318" t="s">
        <v>653</v>
      </c>
      <c r="G318" t="s">
        <v>224</v>
      </c>
      <c r="H318" t="s">
        <v>190</v>
      </c>
      <c r="I318">
        <v>173</v>
      </c>
      <c r="J318" t="s">
        <v>655</v>
      </c>
      <c r="K318" t="s">
        <v>13</v>
      </c>
      <c r="L318" t="s">
        <v>13</v>
      </c>
    </row>
    <row r="319" spans="1:12" x14ac:dyDescent="0.5">
      <c r="A319" t="s">
        <v>654</v>
      </c>
      <c r="B319" t="str">
        <f>_xlfn.XLOOKUP(A319, 'sqft data'!A:A, 'sqft data'!C:C, "Not Found")</f>
        <v>Not Found</v>
      </c>
      <c r="C319">
        <f>_xlfn.XLOOKUP(A319, 'bedroom data'!A:A, 'bedroom data'!B:B, "Not Found")</f>
        <v>2</v>
      </c>
      <c r="D319">
        <f>_xlfn.XLOOKUP(A319, 'bathroom data'!A:A, 'bathroom data'!B:B, "Not Found")</f>
        <v>1</v>
      </c>
      <c r="E319" t="str">
        <f>_xlfn.XLOOKUP(A319, 'bedroom data'!A:A, 'bedroom data'!C:C, "Not Found")</f>
        <v>Adams Morgan</v>
      </c>
      <c r="F319" t="s">
        <v>653</v>
      </c>
      <c r="G319" t="s">
        <v>432</v>
      </c>
      <c r="H319" t="s">
        <v>266</v>
      </c>
      <c r="I319">
        <v>0</v>
      </c>
      <c r="J319" t="s">
        <v>432</v>
      </c>
      <c r="K319" t="s">
        <v>13</v>
      </c>
      <c r="L319" t="s">
        <v>13</v>
      </c>
    </row>
    <row r="320" spans="1:12" x14ac:dyDescent="0.5">
      <c r="A320" t="s">
        <v>656</v>
      </c>
      <c r="B320" t="str">
        <f>_xlfn.XLOOKUP(A320, 'sqft data'!A:A, 'sqft data'!C:C, "Not Found")</f>
        <v>Not Found</v>
      </c>
      <c r="C320">
        <f>_xlfn.XLOOKUP(A320, 'bedroom data'!A:A, 'bedroom data'!B:B, "Not Found")</f>
        <v>1</v>
      </c>
      <c r="D320">
        <f>_xlfn.XLOOKUP(A320, 'bathroom data'!A:A, 'bathroom data'!B:B, "Not Found")</f>
        <v>1</v>
      </c>
      <c r="E320" t="str">
        <f>_xlfn.XLOOKUP(A320, 'bedroom data'!A:A, 'bedroom data'!C:C, "Not Found")</f>
        <v>Adams Morgan</v>
      </c>
      <c r="F320" t="s">
        <v>507</v>
      </c>
      <c r="G320" t="s">
        <v>132</v>
      </c>
      <c r="H320" t="s">
        <v>245</v>
      </c>
      <c r="I320">
        <v>95</v>
      </c>
      <c r="J320" t="s">
        <v>657</v>
      </c>
      <c r="K320" t="s">
        <v>13</v>
      </c>
      <c r="L320" t="s">
        <v>13</v>
      </c>
    </row>
    <row r="321" spans="1:12" x14ac:dyDescent="0.5">
      <c r="A321" t="s">
        <v>658</v>
      </c>
      <c r="B321">
        <f>_xlfn.XLOOKUP(A321, 'sqft data'!A:A, 'sqft data'!C:C, "Not Found")</f>
        <v>1600</v>
      </c>
      <c r="C321">
        <f>_xlfn.XLOOKUP(A321, 'bedroom data'!A:A, 'bedroom data'!B:B, "Not Found")</f>
        <v>2</v>
      </c>
      <c r="D321">
        <f>_xlfn.XLOOKUP(A321, 'bathroom data'!A:A, 'bathroom data'!B:B, "Not Found")</f>
        <v>2</v>
      </c>
      <c r="E321" t="str">
        <f>_xlfn.XLOOKUP(A321, 'bedroom data'!A:A, 'bedroom data'!C:C, "Not Found")</f>
        <v>Adams Morgan</v>
      </c>
      <c r="F321" t="s">
        <v>659</v>
      </c>
      <c r="G321" t="s">
        <v>201</v>
      </c>
      <c r="H321" t="s">
        <v>237</v>
      </c>
      <c r="I321">
        <v>0</v>
      </c>
      <c r="J321" t="s">
        <v>201</v>
      </c>
      <c r="K321" t="s">
        <v>13</v>
      </c>
      <c r="L321" t="s">
        <v>13</v>
      </c>
    </row>
    <row r="322" spans="1:12" x14ac:dyDescent="0.5">
      <c r="A322" t="s">
        <v>658</v>
      </c>
      <c r="B322">
        <f>_xlfn.XLOOKUP(A322, 'sqft data'!A:A, 'sqft data'!C:C, "Not Found")</f>
        <v>1600</v>
      </c>
      <c r="C322">
        <f>_xlfn.XLOOKUP(A322, 'bedroom data'!A:A, 'bedroom data'!B:B, "Not Found")</f>
        <v>2</v>
      </c>
      <c r="D322">
        <f>_xlfn.XLOOKUP(A322, 'bathroom data'!A:A, 'bathroom data'!B:B, "Not Found")</f>
        <v>2</v>
      </c>
      <c r="E322" t="str">
        <f>_xlfn.XLOOKUP(A322, 'bedroom data'!A:A, 'bedroom data'!C:C, "Not Found")</f>
        <v>Adams Morgan</v>
      </c>
      <c r="F322" t="s">
        <v>659</v>
      </c>
      <c r="G322" t="s">
        <v>174</v>
      </c>
      <c r="H322" t="s">
        <v>660</v>
      </c>
      <c r="I322">
        <v>180</v>
      </c>
      <c r="J322" t="s">
        <v>472</v>
      </c>
      <c r="K322" t="s">
        <v>36</v>
      </c>
      <c r="L322" t="s">
        <v>13</v>
      </c>
    </row>
    <row r="323" spans="1:12" x14ac:dyDescent="0.5">
      <c r="A323" t="s">
        <v>661</v>
      </c>
      <c r="B323">
        <f>_xlfn.XLOOKUP(A323, 'sqft data'!A:A, 'sqft data'!C:C, "Not Found")</f>
        <v>1300</v>
      </c>
      <c r="C323">
        <f>_xlfn.XLOOKUP(A323, 'bedroom data'!A:A, 'bedroom data'!B:B, "Not Found")</f>
        <v>2</v>
      </c>
      <c r="D323">
        <f>_xlfn.XLOOKUP(A323, 'bathroom data'!A:A, 'bathroom data'!B:B, "Not Found")</f>
        <v>2.5</v>
      </c>
      <c r="E323" t="str">
        <f>_xlfn.XLOOKUP(A323, 'bedroom data'!A:A, 'bedroom data'!C:C, "Not Found")</f>
        <v>Foggy Bottom</v>
      </c>
      <c r="F323" t="s">
        <v>662</v>
      </c>
      <c r="G323" t="s">
        <v>663</v>
      </c>
      <c r="H323" t="s">
        <v>26</v>
      </c>
      <c r="I323">
        <v>188</v>
      </c>
      <c r="J323" t="s">
        <v>664</v>
      </c>
      <c r="K323" t="s">
        <v>13</v>
      </c>
      <c r="L323" t="s">
        <v>36</v>
      </c>
    </row>
    <row r="324" spans="1:12" x14ac:dyDescent="0.5">
      <c r="A324" t="s">
        <v>661</v>
      </c>
      <c r="B324">
        <f>_xlfn.XLOOKUP(A324, 'sqft data'!A:A, 'sqft data'!C:C, "Not Found")</f>
        <v>1300</v>
      </c>
      <c r="C324">
        <f>_xlfn.XLOOKUP(A324, 'bedroom data'!A:A, 'bedroom data'!B:B, "Not Found")</f>
        <v>2</v>
      </c>
      <c r="D324">
        <f>_xlfn.XLOOKUP(A324, 'bathroom data'!A:A, 'bathroom data'!B:B, "Not Found")</f>
        <v>2.5</v>
      </c>
      <c r="E324" t="str">
        <f>_xlfn.XLOOKUP(A324, 'bedroom data'!A:A, 'bedroom data'!C:C, "Not Found")</f>
        <v>Foggy Bottom</v>
      </c>
      <c r="F324" t="s">
        <v>662</v>
      </c>
      <c r="G324" t="s">
        <v>224</v>
      </c>
      <c r="H324" t="s">
        <v>116</v>
      </c>
      <c r="I324">
        <v>215</v>
      </c>
      <c r="J324" t="s">
        <v>645</v>
      </c>
      <c r="K324" t="s">
        <v>13</v>
      </c>
      <c r="L324" t="s">
        <v>36</v>
      </c>
    </row>
    <row r="325" spans="1:12" x14ac:dyDescent="0.5">
      <c r="A325" t="s">
        <v>661</v>
      </c>
      <c r="B325">
        <f>_xlfn.XLOOKUP(A325, 'sqft data'!A:A, 'sqft data'!C:C, "Not Found")</f>
        <v>1300</v>
      </c>
      <c r="C325">
        <f>_xlfn.XLOOKUP(A325, 'bedroom data'!A:A, 'bedroom data'!B:B, "Not Found")</f>
        <v>2</v>
      </c>
      <c r="D325">
        <f>_xlfn.XLOOKUP(A325, 'bathroom data'!A:A, 'bathroom data'!B:B, "Not Found")</f>
        <v>2.5</v>
      </c>
      <c r="E325" t="str">
        <f>_xlfn.XLOOKUP(A325, 'bedroom data'!A:A, 'bedroom data'!C:C, "Not Found")</f>
        <v>Foggy Bottom</v>
      </c>
      <c r="F325" t="s">
        <v>662</v>
      </c>
      <c r="G325" t="s">
        <v>665</v>
      </c>
      <c r="H325" t="s">
        <v>464</v>
      </c>
      <c r="I325">
        <v>187</v>
      </c>
      <c r="J325" t="s">
        <v>196</v>
      </c>
      <c r="K325" t="s">
        <v>13</v>
      </c>
      <c r="L325" t="s">
        <v>13</v>
      </c>
    </row>
    <row r="326" spans="1:12" x14ac:dyDescent="0.5">
      <c r="A326" t="s">
        <v>661</v>
      </c>
      <c r="B326">
        <f>_xlfn.XLOOKUP(A326, 'sqft data'!A:A, 'sqft data'!C:C, "Not Found")</f>
        <v>1300</v>
      </c>
      <c r="C326">
        <f>_xlfn.XLOOKUP(A326, 'bedroom data'!A:A, 'bedroom data'!B:B, "Not Found")</f>
        <v>2</v>
      </c>
      <c r="D326">
        <f>_xlfn.XLOOKUP(A326, 'bathroom data'!A:A, 'bathroom data'!B:B, "Not Found")</f>
        <v>2.5</v>
      </c>
      <c r="E326" t="str">
        <f>_xlfn.XLOOKUP(A326, 'bedroom data'!A:A, 'bedroom data'!C:C, "Not Found")</f>
        <v>Foggy Bottom</v>
      </c>
      <c r="F326" t="s">
        <v>662</v>
      </c>
      <c r="G326" t="s">
        <v>666</v>
      </c>
      <c r="H326" t="s">
        <v>253</v>
      </c>
      <c r="I326">
        <v>219</v>
      </c>
      <c r="J326" t="s">
        <v>649</v>
      </c>
      <c r="K326" t="s">
        <v>13</v>
      </c>
      <c r="L326" t="s">
        <v>36</v>
      </c>
    </row>
    <row r="327" spans="1:12" x14ac:dyDescent="0.5">
      <c r="A327" t="s">
        <v>667</v>
      </c>
      <c r="B327">
        <f>_xlfn.XLOOKUP(A327, 'sqft data'!A:A, 'sqft data'!C:C, "Not Found")</f>
        <v>2000</v>
      </c>
      <c r="C327">
        <f>_xlfn.XLOOKUP(A327, 'bedroom data'!A:A, 'bedroom data'!B:B, "Not Found")</f>
        <v>3</v>
      </c>
      <c r="D327">
        <f>_xlfn.XLOOKUP(A327, 'bathroom data'!A:A, 'bathroom data'!B:B, "Not Found")</f>
        <v>2.5</v>
      </c>
      <c r="E327" t="str">
        <f>_xlfn.XLOOKUP(A327, 'bedroom data'!A:A, 'bedroom data'!C:C, "Not Found")</f>
        <v>Capitol Hill</v>
      </c>
      <c r="F327" t="s">
        <v>668</v>
      </c>
      <c r="G327" t="s">
        <v>669</v>
      </c>
      <c r="H327" t="s">
        <v>670</v>
      </c>
      <c r="I327">
        <v>198</v>
      </c>
      <c r="J327" t="s">
        <v>671</v>
      </c>
      <c r="K327" t="s">
        <v>13</v>
      </c>
      <c r="L327" t="s">
        <v>13</v>
      </c>
    </row>
    <row r="328" spans="1:12" x14ac:dyDescent="0.5">
      <c r="A328" t="s">
        <v>667</v>
      </c>
      <c r="B328">
        <f>_xlfn.XLOOKUP(A328, 'sqft data'!A:A, 'sqft data'!C:C, "Not Found")</f>
        <v>2000</v>
      </c>
      <c r="C328">
        <f>_xlfn.XLOOKUP(A328, 'bedroom data'!A:A, 'bedroom data'!B:B, "Not Found")</f>
        <v>3</v>
      </c>
      <c r="D328">
        <f>_xlfn.XLOOKUP(A328, 'bathroom data'!A:A, 'bathroom data'!B:B, "Not Found")</f>
        <v>2.5</v>
      </c>
      <c r="E328" t="str">
        <f>_xlfn.XLOOKUP(A328, 'bedroom data'!A:A, 'bedroom data'!C:C, "Not Found")</f>
        <v>Capitol Hill</v>
      </c>
      <c r="F328" t="s">
        <v>668</v>
      </c>
      <c r="G328" t="s">
        <v>672</v>
      </c>
      <c r="H328" t="s">
        <v>613</v>
      </c>
      <c r="I328">
        <v>0</v>
      </c>
      <c r="J328" t="s">
        <v>672</v>
      </c>
      <c r="K328" t="s">
        <v>13</v>
      </c>
      <c r="L328" t="s">
        <v>13</v>
      </c>
    </row>
    <row r="329" spans="1:12" x14ac:dyDescent="0.5">
      <c r="A329" t="s">
        <v>667</v>
      </c>
      <c r="B329">
        <f>_xlfn.XLOOKUP(A329, 'sqft data'!A:A, 'sqft data'!C:C, "Not Found")</f>
        <v>2000</v>
      </c>
      <c r="C329">
        <f>_xlfn.XLOOKUP(A329, 'bedroom data'!A:A, 'bedroom data'!B:B, "Not Found")</f>
        <v>3</v>
      </c>
      <c r="D329">
        <f>_xlfn.XLOOKUP(A329, 'bathroom data'!A:A, 'bathroom data'!B:B, "Not Found")</f>
        <v>2.5</v>
      </c>
      <c r="E329" t="str">
        <f>_xlfn.XLOOKUP(A329, 'bedroom data'!A:A, 'bedroom data'!C:C, "Not Found")</f>
        <v>Capitol Hill</v>
      </c>
      <c r="F329" t="s">
        <v>668</v>
      </c>
      <c r="G329" t="s">
        <v>673</v>
      </c>
      <c r="H329" t="s">
        <v>560</v>
      </c>
      <c r="I329">
        <v>211</v>
      </c>
      <c r="J329" t="s">
        <v>538</v>
      </c>
      <c r="K329" t="s">
        <v>13</v>
      </c>
      <c r="L329" t="s">
        <v>13</v>
      </c>
    </row>
    <row r="330" spans="1:12" x14ac:dyDescent="0.5">
      <c r="A330" t="s">
        <v>667</v>
      </c>
      <c r="B330">
        <f>_xlfn.XLOOKUP(A330, 'sqft data'!A:A, 'sqft data'!C:C, "Not Found")</f>
        <v>2000</v>
      </c>
      <c r="C330">
        <f>_xlfn.XLOOKUP(A330, 'bedroom data'!A:A, 'bedroom data'!B:B, "Not Found")</f>
        <v>3</v>
      </c>
      <c r="D330">
        <f>_xlfn.XLOOKUP(A330, 'bathroom data'!A:A, 'bathroom data'!B:B, "Not Found")</f>
        <v>2.5</v>
      </c>
      <c r="E330" t="str">
        <f>_xlfn.XLOOKUP(A330, 'bedroom data'!A:A, 'bedroom data'!C:C, "Not Found")</f>
        <v>Capitol Hill</v>
      </c>
      <c r="F330" t="s">
        <v>668</v>
      </c>
      <c r="G330" t="s">
        <v>674</v>
      </c>
      <c r="H330" t="s">
        <v>675</v>
      </c>
      <c r="I330">
        <v>220</v>
      </c>
      <c r="J330" t="s">
        <v>676</v>
      </c>
      <c r="K330" t="s">
        <v>36</v>
      </c>
      <c r="L330" t="s">
        <v>13</v>
      </c>
    </row>
    <row r="331" spans="1:12" x14ac:dyDescent="0.5">
      <c r="A331" t="s">
        <v>677</v>
      </c>
      <c r="B331">
        <f>_xlfn.XLOOKUP(A331, 'sqft data'!A:A, 'sqft data'!C:C, "Not Found")</f>
        <v>888</v>
      </c>
      <c r="C331">
        <f>_xlfn.XLOOKUP(A331, 'bedroom data'!A:A, 'bedroom data'!B:B, "Not Found")</f>
        <v>1</v>
      </c>
      <c r="D331">
        <f>_xlfn.XLOOKUP(A331, 'bathroom data'!A:A, 'bathroom data'!B:B, "Not Found")</f>
        <v>1.5</v>
      </c>
      <c r="E331" t="str">
        <f>_xlfn.XLOOKUP(A331, 'bedroom data'!A:A, 'bedroom data'!C:C, "Not Found")</f>
        <v>Adams Morgan</v>
      </c>
      <c r="F331" t="s">
        <v>678</v>
      </c>
      <c r="G331" t="s">
        <v>679</v>
      </c>
      <c r="H331" t="s">
        <v>40</v>
      </c>
      <c r="I331">
        <v>136</v>
      </c>
      <c r="J331" t="s">
        <v>680</v>
      </c>
      <c r="K331" t="s">
        <v>13</v>
      </c>
      <c r="L331" t="s">
        <v>36</v>
      </c>
    </row>
    <row r="332" spans="1:12" x14ac:dyDescent="0.5">
      <c r="A332" t="s">
        <v>677</v>
      </c>
      <c r="B332">
        <f>_xlfn.XLOOKUP(A332, 'sqft data'!A:A, 'sqft data'!C:C, "Not Found")</f>
        <v>888</v>
      </c>
      <c r="C332">
        <f>_xlfn.XLOOKUP(A332, 'bedroom data'!A:A, 'bedroom data'!B:B, "Not Found")</f>
        <v>1</v>
      </c>
      <c r="D332">
        <f>_xlfn.XLOOKUP(A332, 'bathroom data'!A:A, 'bathroom data'!B:B, "Not Found")</f>
        <v>1.5</v>
      </c>
      <c r="E332" t="str">
        <f>_xlfn.XLOOKUP(A332, 'bedroom data'!A:A, 'bedroom data'!C:C, "Not Found")</f>
        <v>Adams Morgan</v>
      </c>
      <c r="F332" t="s">
        <v>678</v>
      </c>
      <c r="G332" t="s">
        <v>562</v>
      </c>
      <c r="H332" t="s">
        <v>233</v>
      </c>
      <c r="I332">
        <v>105</v>
      </c>
      <c r="J332" t="s">
        <v>466</v>
      </c>
      <c r="K332" t="s">
        <v>36</v>
      </c>
      <c r="L332" t="s">
        <v>13</v>
      </c>
    </row>
    <row r="333" spans="1:12" x14ac:dyDescent="0.5">
      <c r="A333" t="s">
        <v>681</v>
      </c>
      <c r="B333">
        <f>_xlfn.XLOOKUP(A333, 'sqft data'!A:A, 'sqft data'!C:C, "Not Found")</f>
        <v>1350</v>
      </c>
      <c r="C333">
        <f>_xlfn.XLOOKUP(A333, 'bedroom data'!A:A, 'bedroom data'!B:B, "Not Found")</f>
        <v>2</v>
      </c>
      <c r="D333">
        <f>_xlfn.XLOOKUP(A333, 'bathroom data'!A:A, 'bathroom data'!B:B, "Not Found")</f>
        <v>2.5</v>
      </c>
      <c r="E333" t="str">
        <f>_xlfn.XLOOKUP(A333, 'bedroom data'!A:A, 'bedroom data'!C:C, "Not Found")</f>
        <v>Capitol Hill</v>
      </c>
      <c r="F333" t="s">
        <v>682</v>
      </c>
      <c r="G333" t="s">
        <v>39</v>
      </c>
      <c r="H333" t="s">
        <v>478</v>
      </c>
      <c r="I333">
        <v>205</v>
      </c>
      <c r="J333" t="s">
        <v>683</v>
      </c>
      <c r="K333" t="s">
        <v>36</v>
      </c>
      <c r="L333" t="s">
        <v>36</v>
      </c>
    </row>
    <row r="334" spans="1:12" x14ac:dyDescent="0.5">
      <c r="A334" t="s">
        <v>681</v>
      </c>
      <c r="B334">
        <f>_xlfn.XLOOKUP(A334, 'sqft data'!A:A, 'sqft data'!C:C, "Not Found")</f>
        <v>1350</v>
      </c>
      <c r="C334">
        <f>_xlfn.XLOOKUP(A334, 'bedroom data'!A:A, 'bedroom data'!B:B, "Not Found")</f>
        <v>2</v>
      </c>
      <c r="D334">
        <f>_xlfn.XLOOKUP(A334, 'bathroom data'!A:A, 'bathroom data'!B:B, "Not Found")</f>
        <v>2.5</v>
      </c>
      <c r="E334" t="str">
        <f>_xlfn.XLOOKUP(A334, 'bedroom data'!A:A, 'bedroom data'!C:C, "Not Found")</f>
        <v>Capitol Hill</v>
      </c>
      <c r="F334" t="s">
        <v>682</v>
      </c>
      <c r="G334" t="s">
        <v>198</v>
      </c>
      <c r="H334" t="s">
        <v>175</v>
      </c>
      <c r="I334">
        <v>203</v>
      </c>
      <c r="J334" t="s">
        <v>684</v>
      </c>
      <c r="K334" t="s">
        <v>36</v>
      </c>
      <c r="L334" t="s">
        <v>36</v>
      </c>
    </row>
    <row r="335" spans="1:12" x14ac:dyDescent="0.5">
      <c r="A335" t="s">
        <v>681</v>
      </c>
      <c r="B335">
        <f>_xlfn.XLOOKUP(A335, 'sqft data'!A:A, 'sqft data'!C:C, "Not Found")</f>
        <v>1350</v>
      </c>
      <c r="C335">
        <f>_xlfn.XLOOKUP(A335, 'bedroom data'!A:A, 'bedroom data'!B:B, "Not Found")</f>
        <v>2</v>
      </c>
      <c r="D335">
        <f>_xlfn.XLOOKUP(A335, 'bathroom data'!A:A, 'bathroom data'!B:B, "Not Found")</f>
        <v>2.5</v>
      </c>
      <c r="E335" t="str">
        <f>_xlfn.XLOOKUP(A335, 'bedroom data'!A:A, 'bedroom data'!C:C, "Not Found")</f>
        <v>Capitol Hill</v>
      </c>
      <c r="F335" t="s">
        <v>682</v>
      </c>
      <c r="G335" t="s">
        <v>312</v>
      </c>
      <c r="H335" t="s">
        <v>685</v>
      </c>
      <c r="I335">
        <v>240</v>
      </c>
      <c r="J335" t="s">
        <v>136</v>
      </c>
      <c r="K335" t="s">
        <v>36</v>
      </c>
      <c r="L335" t="s">
        <v>13</v>
      </c>
    </row>
    <row r="336" spans="1:12" x14ac:dyDescent="0.5">
      <c r="A336" t="s">
        <v>686</v>
      </c>
      <c r="B336">
        <f>_xlfn.XLOOKUP(A336, 'sqft data'!A:A, 'sqft data'!C:C, "Not Found")</f>
        <v>651</v>
      </c>
      <c r="C336">
        <f>_xlfn.XLOOKUP(A336, 'bedroom data'!A:A, 'bedroom data'!B:B, "Not Found")</f>
        <v>1</v>
      </c>
      <c r="D336">
        <f>_xlfn.XLOOKUP(A336, 'bathroom data'!A:A, 'bathroom data'!B:B, "Not Found")</f>
        <v>1</v>
      </c>
      <c r="E336" t="str">
        <f>_xlfn.XLOOKUP(A336, 'bedroom data'!A:A, 'bedroom data'!C:C, "Not Found")</f>
        <v>Arlington</v>
      </c>
      <c r="F336" t="s">
        <v>687</v>
      </c>
      <c r="G336" t="s">
        <v>100</v>
      </c>
      <c r="H336" t="s">
        <v>420</v>
      </c>
      <c r="I336">
        <v>99</v>
      </c>
      <c r="J336" t="s">
        <v>354</v>
      </c>
      <c r="K336" t="s">
        <v>13</v>
      </c>
      <c r="L336" t="s">
        <v>13</v>
      </c>
    </row>
    <row r="337" spans="1:12" x14ac:dyDescent="0.5">
      <c r="A337" t="s">
        <v>688</v>
      </c>
      <c r="B337">
        <f>_xlfn.XLOOKUP(A337, 'sqft data'!A:A, 'sqft data'!C:C, "Not Found")</f>
        <v>2620</v>
      </c>
      <c r="C337">
        <f>_xlfn.XLOOKUP(A337, 'bedroom data'!A:A, 'bedroom data'!B:B, "Not Found")</f>
        <v>3</v>
      </c>
      <c r="D337">
        <f>_xlfn.XLOOKUP(A337, 'bathroom data'!A:A, 'bathroom data'!B:B, "Not Found")</f>
        <v>2.5</v>
      </c>
      <c r="E337" t="str">
        <f>_xlfn.XLOOKUP(A337, 'bedroom data'!A:A, 'bedroom data'!C:C, "Not Found")</f>
        <v>Capitol Hill</v>
      </c>
      <c r="F337" t="s">
        <v>689</v>
      </c>
      <c r="G337" t="s">
        <v>690</v>
      </c>
      <c r="H337" t="s">
        <v>133</v>
      </c>
      <c r="I337">
        <v>220</v>
      </c>
      <c r="J337" t="s">
        <v>691</v>
      </c>
      <c r="K337" t="s">
        <v>36</v>
      </c>
      <c r="L337" t="s">
        <v>36</v>
      </c>
    </row>
    <row r="338" spans="1:12" x14ac:dyDescent="0.5">
      <c r="A338" t="s">
        <v>688</v>
      </c>
      <c r="B338">
        <f>_xlfn.XLOOKUP(A338, 'sqft data'!A:A, 'sqft data'!C:C, "Not Found")</f>
        <v>2620</v>
      </c>
      <c r="C338">
        <f>_xlfn.XLOOKUP(A338, 'bedroom data'!A:A, 'bedroom data'!B:B, "Not Found")</f>
        <v>3</v>
      </c>
      <c r="D338">
        <f>_xlfn.XLOOKUP(A338, 'bathroom data'!A:A, 'bathroom data'!B:B, "Not Found")</f>
        <v>2.5</v>
      </c>
      <c r="E338" t="str">
        <f>_xlfn.XLOOKUP(A338, 'bedroom data'!A:A, 'bedroom data'!C:C, "Not Found")</f>
        <v>Capitol Hill</v>
      </c>
      <c r="F338" t="s">
        <v>689</v>
      </c>
      <c r="G338" t="s">
        <v>116</v>
      </c>
      <c r="H338" t="s">
        <v>425</v>
      </c>
      <c r="I338">
        <v>217</v>
      </c>
      <c r="J338" t="s">
        <v>537</v>
      </c>
      <c r="K338" t="s">
        <v>13</v>
      </c>
      <c r="L338" t="s">
        <v>13</v>
      </c>
    </row>
    <row r="339" spans="1:12" x14ac:dyDescent="0.5">
      <c r="A339" t="s">
        <v>688</v>
      </c>
      <c r="B339">
        <f>_xlfn.XLOOKUP(A339, 'sqft data'!A:A, 'sqft data'!C:C, "Not Found")</f>
        <v>2620</v>
      </c>
      <c r="C339">
        <f>_xlfn.XLOOKUP(A339, 'bedroom data'!A:A, 'bedroom data'!B:B, "Not Found")</f>
        <v>3</v>
      </c>
      <c r="D339">
        <f>_xlfn.XLOOKUP(A339, 'bathroom data'!A:A, 'bathroom data'!B:B, "Not Found")</f>
        <v>2.5</v>
      </c>
      <c r="E339" t="str">
        <f>_xlfn.XLOOKUP(A339, 'bedroom data'!A:A, 'bedroom data'!C:C, "Not Found")</f>
        <v>Capitol Hill</v>
      </c>
      <c r="F339" t="s">
        <v>689</v>
      </c>
      <c r="G339" t="s">
        <v>692</v>
      </c>
      <c r="H339" t="s">
        <v>219</v>
      </c>
      <c r="I339">
        <v>212</v>
      </c>
      <c r="J339" t="s">
        <v>692</v>
      </c>
      <c r="K339" t="s">
        <v>13</v>
      </c>
      <c r="L339" t="s">
        <v>13</v>
      </c>
    </row>
    <row r="340" spans="1:12" x14ac:dyDescent="0.5">
      <c r="A340" t="s">
        <v>688</v>
      </c>
      <c r="B340">
        <f>_xlfn.XLOOKUP(A340, 'sqft data'!A:A, 'sqft data'!C:C, "Not Found")</f>
        <v>2620</v>
      </c>
      <c r="C340">
        <f>_xlfn.XLOOKUP(A340, 'bedroom data'!A:A, 'bedroom data'!B:B, "Not Found")</f>
        <v>3</v>
      </c>
      <c r="D340">
        <f>_xlfn.XLOOKUP(A340, 'bathroom data'!A:A, 'bathroom data'!B:B, "Not Found")</f>
        <v>2.5</v>
      </c>
      <c r="E340" t="str">
        <f>_xlfn.XLOOKUP(A340, 'bedroom data'!A:A, 'bedroom data'!C:C, "Not Found")</f>
        <v>Capitol Hill</v>
      </c>
      <c r="F340" t="s">
        <v>689</v>
      </c>
      <c r="G340" t="s">
        <v>666</v>
      </c>
      <c r="H340" t="s">
        <v>693</v>
      </c>
      <c r="I340">
        <v>245.18</v>
      </c>
      <c r="J340" t="s">
        <v>533</v>
      </c>
      <c r="K340" t="s">
        <v>36</v>
      </c>
      <c r="L340" t="s">
        <v>13</v>
      </c>
    </row>
    <row r="341" spans="1:12" x14ac:dyDescent="0.5">
      <c r="A341" t="s">
        <v>688</v>
      </c>
      <c r="B341">
        <f>_xlfn.XLOOKUP(A341, 'sqft data'!A:A, 'sqft data'!C:C, "Not Found")</f>
        <v>2620</v>
      </c>
      <c r="C341">
        <f>_xlfn.XLOOKUP(A341, 'bedroom data'!A:A, 'bedroom data'!B:B, "Not Found")</f>
        <v>3</v>
      </c>
      <c r="D341">
        <f>_xlfn.XLOOKUP(A341, 'bathroom data'!A:A, 'bathroom data'!B:B, "Not Found")</f>
        <v>2.5</v>
      </c>
      <c r="E341" t="str">
        <f>_xlfn.XLOOKUP(A341, 'bedroom data'!A:A, 'bedroom data'!C:C, "Not Found")</f>
        <v>Capitol Hill</v>
      </c>
      <c r="F341" t="s">
        <v>689</v>
      </c>
      <c r="G341" t="s">
        <v>694</v>
      </c>
      <c r="H341" t="s">
        <v>519</v>
      </c>
      <c r="I341">
        <v>0</v>
      </c>
      <c r="J341" t="s">
        <v>695</v>
      </c>
      <c r="K341" t="s">
        <v>13</v>
      </c>
      <c r="L341" t="s">
        <v>13</v>
      </c>
    </row>
    <row r="342" spans="1:12" x14ac:dyDescent="0.5">
      <c r="A342" t="s">
        <v>696</v>
      </c>
      <c r="B342">
        <f>_xlfn.XLOOKUP(A342, 'sqft data'!A:A, 'sqft data'!C:C, "Not Found")</f>
        <v>700</v>
      </c>
      <c r="C342">
        <f>_xlfn.XLOOKUP(A342, 'bedroom data'!A:A, 'bedroom data'!B:B, "Not Found")</f>
        <v>2</v>
      </c>
      <c r="D342">
        <f>_xlfn.XLOOKUP(A342, 'bathroom data'!A:A, 'bathroom data'!B:B, "Not Found")</f>
        <v>1</v>
      </c>
      <c r="E342" t="str">
        <f>_xlfn.XLOOKUP(A342, 'bedroom data'!A:A, 'bedroom data'!C:C, "Not Found")</f>
        <v>U Street Corridor</v>
      </c>
      <c r="F342" t="s">
        <v>697</v>
      </c>
      <c r="G342" t="s">
        <v>477</v>
      </c>
      <c r="H342" t="s">
        <v>595</v>
      </c>
      <c r="I342">
        <v>0</v>
      </c>
      <c r="J342" t="s">
        <v>698</v>
      </c>
      <c r="K342" t="s">
        <v>13</v>
      </c>
      <c r="L342" t="s">
        <v>13</v>
      </c>
    </row>
    <row r="343" spans="1:12" x14ac:dyDescent="0.5">
      <c r="A343" t="s">
        <v>696</v>
      </c>
      <c r="B343">
        <f>_xlfn.XLOOKUP(A343, 'sqft data'!A:A, 'sqft data'!C:C, "Not Found")</f>
        <v>700</v>
      </c>
      <c r="C343">
        <f>_xlfn.XLOOKUP(A343, 'bedroom data'!A:A, 'bedroom data'!B:B, "Not Found")</f>
        <v>2</v>
      </c>
      <c r="D343">
        <f>_xlfn.XLOOKUP(A343, 'bathroom data'!A:A, 'bathroom data'!B:B, "Not Found")</f>
        <v>1</v>
      </c>
      <c r="E343" t="str">
        <f>_xlfn.XLOOKUP(A343, 'bedroom data'!A:A, 'bedroom data'!C:C, "Not Found")</f>
        <v>U Street Corridor</v>
      </c>
      <c r="F343" t="s">
        <v>697</v>
      </c>
      <c r="G343" t="s">
        <v>444</v>
      </c>
      <c r="H343" t="s">
        <v>699</v>
      </c>
      <c r="I343">
        <v>0</v>
      </c>
      <c r="J343" t="s">
        <v>16</v>
      </c>
      <c r="K343" t="s">
        <v>13</v>
      </c>
      <c r="L343" t="s">
        <v>13</v>
      </c>
    </row>
    <row r="344" spans="1:12" x14ac:dyDescent="0.5">
      <c r="A344" t="s">
        <v>696</v>
      </c>
      <c r="B344">
        <f>_xlfn.XLOOKUP(A344, 'sqft data'!A:A, 'sqft data'!C:C, "Not Found")</f>
        <v>700</v>
      </c>
      <c r="C344">
        <f>_xlfn.XLOOKUP(A344, 'bedroom data'!A:A, 'bedroom data'!B:B, "Not Found")</f>
        <v>2</v>
      </c>
      <c r="D344">
        <f>_xlfn.XLOOKUP(A344, 'bathroom data'!A:A, 'bathroom data'!B:B, "Not Found")</f>
        <v>1</v>
      </c>
      <c r="E344" t="str">
        <f>_xlfn.XLOOKUP(A344, 'bedroom data'!A:A, 'bedroom data'!C:C, "Not Found")</f>
        <v>U Street Corridor</v>
      </c>
      <c r="F344" t="s">
        <v>697</v>
      </c>
      <c r="G344" t="s">
        <v>266</v>
      </c>
      <c r="H344" t="s">
        <v>699</v>
      </c>
      <c r="I344">
        <v>0</v>
      </c>
      <c r="J344" t="s">
        <v>16</v>
      </c>
      <c r="K344" t="s">
        <v>13</v>
      </c>
      <c r="L344" t="s">
        <v>13</v>
      </c>
    </row>
    <row r="345" spans="1:12" x14ac:dyDescent="0.5">
      <c r="A345" t="s">
        <v>696</v>
      </c>
      <c r="B345">
        <f>_xlfn.XLOOKUP(A345, 'sqft data'!A:A, 'sqft data'!C:C, "Not Found")</f>
        <v>700</v>
      </c>
      <c r="C345">
        <f>_xlfn.XLOOKUP(A345, 'bedroom data'!A:A, 'bedroom data'!B:B, "Not Found")</f>
        <v>2</v>
      </c>
      <c r="D345">
        <f>_xlfn.XLOOKUP(A345, 'bathroom data'!A:A, 'bathroom data'!B:B, "Not Found")</f>
        <v>1</v>
      </c>
      <c r="E345" t="str">
        <f>_xlfn.XLOOKUP(A345, 'bedroom data'!A:A, 'bedroom data'!C:C, "Not Found")</f>
        <v>U Street Corridor</v>
      </c>
      <c r="F345" t="s">
        <v>697</v>
      </c>
      <c r="G345" t="s">
        <v>700</v>
      </c>
      <c r="H345" t="s">
        <v>68</v>
      </c>
      <c r="I345">
        <v>0</v>
      </c>
      <c r="J345" t="s">
        <v>538</v>
      </c>
      <c r="K345" t="s">
        <v>13</v>
      </c>
      <c r="L345" t="s">
        <v>13</v>
      </c>
    </row>
    <row r="346" spans="1:12" x14ac:dyDescent="0.5">
      <c r="A346" t="s">
        <v>696</v>
      </c>
      <c r="B346">
        <f>_xlfn.XLOOKUP(A346, 'sqft data'!A:A, 'sqft data'!C:C, "Not Found")</f>
        <v>700</v>
      </c>
      <c r="C346">
        <f>_xlfn.XLOOKUP(A346, 'bedroom data'!A:A, 'bedroom data'!B:B, "Not Found")</f>
        <v>2</v>
      </c>
      <c r="D346">
        <f>_xlfn.XLOOKUP(A346, 'bathroom data'!A:A, 'bathroom data'!B:B, "Not Found")</f>
        <v>1</v>
      </c>
      <c r="E346" t="str">
        <f>_xlfn.XLOOKUP(A346, 'bedroom data'!A:A, 'bedroom data'!C:C, "Not Found")</f>
        <v>U Street Corridor</v>
      </c>
      <c r="F346" t="s">
        <v>697</v>
      </c>
      <c r="G346" t="s">
        <v>701</v>
      </c>
      <c r="H346" t="s">
        <v>83</v>
      </c>
      <c r="I346">
        <v>0</v>
      </c>
      <c r="J346" t="s">
        <v>701</v>
      </c>
      <c r="K346" t="s">
        <v>13</v>
      </c>
      <c r="L346" t="s">
        <v>13</v>
      </c>
    </row>
    <row r="347" spans="1:12" x14ac:dyDescent="0.5">
      <c r="A347" t="s">
        <v>702</v>
      </c>
      <c r="B347">
        <f>_xlfn.XLOOKUP(A347, 'sqft data'!A:A, 'sqft data'!C:C, "Not Found")</f>
        <v>840</v>
      </c>
      <c r="C347">
        <f>_xlfn.XLOOKUP(A347, 'bedroom data'!A:A, 'bedroom data'!B:B, "Not Found")</f>
        <v>2</v>
      </c>
      <c r="D347">
        <f>_xlfn.XLOOKUP(A347, 'bathroom data'!A:A, 'bathroom data'!B:B, "Not Found")</f>
        <v>1</v>
      </c>
      <c r="E347" t="str">
        <f>_xlfn.XLOOKUP(A347, 'bedroom data'!A:A, 'bedroom data'!C:C, "Not Found")</f>
        <v>Glover Park</v>
      </c>
      <c r="F347" t="s">
        <v>678</v>
      </c>
      <c r="G347" t="s">
        <v>395</v>
      </c>
      <c r="H347" t="s">
        <v>40</v>
      </c>
      <c r="I347">
        <v>133</v>
      </c>
      <c r="J347" t="s">
        <v>33</v>
      </c>
      <c r="K347" t="s">
        <v>13</v>
      </c>
      <c r="L347" t="s">
        <v>13</v>
      </c>
    </row>
    <row r="348" spans="1:12" x14ac:dyDescent="0.5">
      <c r="A348" t="s">
        <v>702</v>
      </c>
      <c r="B348">
        <f>_xlfn.XLOOKUP(A348, 'sqft data'!A:A, 'sqft data'!C:C, "Not Found")</f>
        <v>840</v>
      </c>
      <c r="C348">
        <f>_xlfn.XLOOKUP(A348, 'bedroom data'!A:A, 'bedroom data'!B:B, "Not Found")</f>
        <v>2</v>
      </c>
      <c r="D348">
        <f>_xlfn.XLOOKUP(A348, 'bathroom data'!A:A, 'bathroom data'!B:B, "Not Found")</f>
        <v>1</v>
      </c>
      <c r="E348" t="str">
        <f>_xlfn.XLOOKUP(A348, 'bedroom data'!A:A, 'bedroom data'!C:C, "Not Found")</f>
        <v>Glover Park</v>
      </c>
      <c r="F348" t="s">
        <v>678</v>
      </c>
      <c r="G348" t="s">
        <v>537</v>
      </c>
      <c r="H348" t="s">
        <v>703</v>
      </c>
      <c r="I348">
        <v>133</v>
      </c>
      <c r="J348" t="s">
        <v>303</v>
      </c>
      <c r="K348" t="s">
        <v>13</v>
      </c>
      <c r="L348" t="s">
        <v>13</v>
      </c>
    </row>
    <row r="349" spans="1:12" x14ac:dyDescent="0.5">
      <c r="A349" t="s">
        <v>702</v>
      </c>
      <c r="B349">
        <f>_xlfn.XLOOKUP(A349, 'sqft data'!A:A, 'sqft data'!C:C, "Not Found")</f>
        <v>840</v>
      </c>
      <c r="C349">
        <f>_xlfn.XLOOKUP(A349, 'bedroom data'!A:A, 'bedroom data'!B:B, "Not Found")</f>
        <v>2</v>
      </c>
      <c r="D349">
        <f>_xlfn.XLOOKUP(A349, 'bathroom data'!A:A, 'bathroom data'!B:B, "Not Found")</f>
        <v>1</v>
      </c>
      <c r="E349" t="str">
        <f>_xlfn.XLOOKUP(A349, 'bedroom data'!A:A, 'bedroom data'!C:C, "Not Found")</f>
        <v>Glover Park</v>
      </c>
      <c r="F349" t="s">
        <v>678</v>
      </c>
      <c r="G349" t="s">
        <v>666</v>
      </c>
      <c r="H349" t="s">
        <v>694</v>
      </c>
      <c r="I349">
        <v>127.14</v>
      </c>
      <c r="J349" t="s">
        <v>493</v>
      </c>
      <c r="K349" t="s">
        <v>13</v>
      </c>
      <c r="L349" t="s">
        <v>13</v>
      </c>
    </row>
    <row r="350" spans="1:12" x14ac:dyDescent="0.5">
      <c r="A350" t="s">
        <v>704</v>
      </c>
      <c r="B350">
        <f>_xlfn.XLOOKUP(A350, 'sqft data'!A:A, 'sqft data'!C:C, "Not Found")</f>
        <v>1800</v>
      </c>
      <c r="C350">
        <f>_xlfn.XLOOKUP(A350, 'bedroom data'!A:A, 'bedroom data'!B:B, "Not Found")</f>
        <v>3</v>
      </c>
      <c r="D350">
        <f>_xlfn.XLOOKUP(A350, 'bathroom data'!A:A, 'bathroom data'!B:B, "Not Found")</f>
        <v>2.5</v>
      </c>
      <c r="E350" t="str">
        <f>_xlfn.XLOOKUP(A350, 'bedroom data'!A:A, 'bedroom data'!C:C, "Not Found")</f>
        <v>Capitol Hill</v>
      </c>
      <c r="F350" t="s">
        <v>32</v>
      </c>
      <c r="G350" t="s">
        <v>281</v>
      </c>
      <c r="H350" t="s">
        <v>294</v>
      </c>
      <c r="I350">
        <v>208</v>
      </c>
      <c r="J350" t="s">
        <v>382</v>
      </c>
      <c r="K350" t="s">
        <v>13</v>
      </c>
      <c r="L350" t="s">
        <v>13</v>
      </c>
    </row>
    <row r="351" spans="1:12" x14ac:dyDescent="0.5">
      <c r="A351" t="s">
        <v>704</v>
      </c>
      <c r="B351">
        <f>_xlfn.XLOOKUP(A351, 'sqft data'!A:A, 'sqft data'!C:C, "Not Found")</f>
        <v>1800</v>
      </c>
      <c r="C351">
        <f>_xlfn.XLOOKUP(A351, 'bedroom data'!A:A, 'bedroom data'!B:B, "Not Found")</f>
        <v>3</v>
      </c>
      <c r="D351">
        <f>_xlfn.XLOOKUP(A351, 'bathroom data'!A:A, 'bathroom data'!B:B, "Not Found")</f>
        <v>2.5</v>
      </c>
      <c r="E351" t="str">
        <f>_xlfn.XLOOKUP(A351, 'bedroom data'!A:A, 'bedroom data'!C:C, "Not Found")</f>
        <v>Capitol Hill</v>
      </c>
      <c r="F351" t="s">
        <v>32</v>
      </c>
      <c r="G351" t="s">
        <v>25</v>
      </c>
      <c r="H351" t="s">
        <v>18</v>
      </c>
      <c r="I351">
        <v>208</v>
      </c>
      <c r="J351" t="s">
        <v>408</v>
      </c>
      <c r="K351" t="s">
        <v>36</v>
      </c>
      <c r="L351" t="s">
        <v>36</v>
      </c>
    </row>
    <row r="352" spans="1:12" x14ac:dyDescent="0.5">
      <c r="A352" t="s">
        <v>704</v>
      </c>
      <c r="B352">
        <f>_xlfn.XLOOKUP(A352, 'sqft data'!A:A, 'sqft data'!C:C, "Not Found")</f>
        <v>1800</v>
      </c>
      <c r="C352">
        <f>_xlfn.XLOOKUP(A352, 'bedroom data'!A:A, 'bedroom data'!B:B, "Not Found")</f>
        <v>3</v>
      </c>
      <c r="D352">
        <f>_xlfn.XLOOKUP(A352, 'bathroom data'!A:A, 'bathroom data'!B:B, "Not Found")</f>
        <v>2.5</v>
      </c>
      <c r="E352" t="str">
        <f>_xlfn.XLOOKUP(A352, 'bedroom data'!A:A, 'bedroom data'!C:C, "Not Found")</f>
        <v>Capitol Hill</v>
      </c>
      <c r="F352" t="s">
        <v>32</v>
      </c>
      <c r="G352" t="s">
        <v>84</v>
      </c>
      <c r="H352" t="s">
        <v>632</v>
      </c>
      <c r="I352">
        <v>185</v>
      </c>
      <c r="J352" t="s">
        <v>705</v>
      </c>
      <c r="K352" t="s">
        <v>13</v>
      </c>
      <c r="L352" t="s">
        <v>13</v>
      </c>
    </row>
    <row r="353" spans="1:12" x14ac:dyDescent="0.5">
      <c r="A353" t="s">
        <v>704</v>
      </c>
      <c r="B353">
        <f>_xlfn.XLOOKUP(A353, 'sqft data'!A:A, 'sqft data'!C:C, "Not Found")</f>
        <v>1800</v>
      </c>
      <c r="C353">
        <f>_xlfn.XLOOKUP(A353, 'bedroom data'!A:A, 'bedroom data'!B:B, "Not Found")</f>
        <v>3</v>
      </c>
      <c r="D353">
        <f>_xlfn.XLOOKUP(A353, 'bathroom data'!A:A, 'bathroom data'!B:B, "Not Found")</f>
        <v>2.5</v>
      </c>
      <c r="E353" t="str">
        <f>_xlfn.XLOOKUP(A353, 'bedroom data'!A:A, 'bedroom data'!C:C, "Not Found")</f>
        <v>Capitol Hill</v>
      </c>
      <c r="F353" t="s">
        <v>32</v>
      </c>
      <c r="G353" t="s">
        <v>478</v>
      </c>
      <c r="H353" t="s">
        <v>706</v>
      </c>
      <c r="I353">
        <v>185</v>
      </c>
      <c r="J353" t="s">
        <v>707</v>
      </c>
      <c r="K353" t="s">
        <v>36</v>
      </c>
      <c r="L353" t="s">
        <v>36</v>
      </c>
    </row>
    <row r="354" spans="1:12" x14ac:dyDescent="0.5">
      <c r="A354" t="s">
        <v>708</v>
      </c>
      <c r="B354">
        <f>_xlfn.XLOOKUP(A354, 'sqft data'!A:A, 'sqft data'!C:C, "Not Found")</f>
        <v>2400</v>
      </c>
      <c r="C354">
        <f>_xlfn.XLOOKUP(A354, 'bedroom data'!A:A, 'bedroom data'!B:B, "Not Found")</f>
        <v>3</v>
      </c>
      <c r="D354">
        <f>_xlfn.XLOOKUP(A354, 'bathroom data'!A:A, 'bathroom data'!B:B, "Not Found")</f>
        <v>2.5</v>
      </c>
      <c r="E354" t="str">
        <f>_xlfn.XLOOKUP(A354, 'bedroom data'!A:A, 'bedroom data'!C:C, "Not Found")</f>
        <v>Capitol Hill</v>
      </c>
      <c r="F354" t="s">
        <v>709</v>
      </c>
      <c r="G354" t="s">
        <v>264</v>
      </c>
      <c r="H354" t="s">
        <v>243</v>
      </c>
      <c r="I354">
        <v>248</v>
      </c>
      <c r="J354" t="s">
        <v>264</v>
      </c>
      <c r="K354" t="s">
        <v>13</v>
      </c>
      <c r="L354" t="s">
        <v>13</v>
      </c>
    </row>
    <row r="355" spans="1:12" x14ac:dyDescent="0.5">
      <c r="A355" t="s">
        <v>708</v>
      </c>
      <c r="B355">
        <f>_xlfn.XLOOKUP(A355, 'sqft data'!A:A, 'sqft data'!C:C, "Not Found")</f>
        <v>2400</v>
      </c>
      <c r="C355">
        <f>_xlfn.XLOOKUP(A355, 'bedroom data'!A:A, 'bedroom data'!B:B, "Not Found")</f>
        <v>3</v>
      </c>
      <c r="D355">
        <f>_xlfn.XLOOKUP(A355, 'bathroom data'!A:A, 'bathroom data'!B:B, "Not Found")</f>
        <v>2.5</v>
      </c>
      <c r="E355" t="str">
        <f>_xlfn.XLOOKUP(A355, 'bedroom data'!A:A, 'bedroom data'!C:C, "Not Found")</f>
        <v>Capitol Hill</v>
      </c>
      <c r="F355" t="s">
        <v>709</v>
      </c>
      <c r="G355" t="s">
        <v>116</v>
      </c>
      <c r="H355" t="s">
        <v>425</v>
      </c>
      <c r="I355">
        <v>209</v>
      </c>
      <c r="J355" t="s">
        <v>537</v>
      </c>
      <c r="K355" t="s">
        <v>13</v>
      </c>
      <c r="L355" t="s">
        <v>13</v>
      </c>
    </row>
    <row r="356" spans="1:12" x14ac:dyDescent="0.5">
      <c r="A356" t="s">
        <v>708</v>
      </c>
      <c r="B356">
        <f>_xlfn.XLOOKUP(A356, 'sqft data'!A:A, 'sqft data'!C:C, "Not Found")</f>
        <v>2400</v>
      </c>
      <c r="C356">
        <f>_xlfn.XLOOKUP(A356, 'bedroom data'!A:A, 'bedroom data'!B:B, "Not Found")</f>
        <v>3</v>
      </c>
      <c r="D356">
        <f>_xlfn.XLOOKUP(A356, 'bathroom data'!A:A, 'bathroom data'!B:B, "Not Found")</f>
        <v>2.5</v>
      </c>
      <c r="E356" t="str">
        <f>_xlfn.XLOOKUP(A356, 'bedroom data'!A:A, 'bedroom data'!C:C, "Not Found")</f>
        <v>Capitol Hill</v>
      </c>
      <c r="F356" t="s">
        <v>709</v>
      </c>
      <c r="G356" t="s">
        <v>710</v>
      </c>
      <c r="H356" t="s">
        <v>28</v>
      </c>
      <c r="I356">
        <v>0</v>
      </c>
      <c r="J356" t="s">
        <v>711</v>
      </c>
      <c r="K356" t="s">
        <v>13</v>
      </c>
      <c r="L356" t="s">
        <v>13</v>
      </c>
    </row>
    <row r="357" spans="1:12" x14ac:dyDescent="0.5">
      <c r="A357" t="s">
        <v>708</v>
      </c>
      <c r="B357">
        <f>_xlfn.XLOOKUP(A357, 'sqft data'!A:A, 'sqft data'!C:C, "Not Found")</f>
        <v>2400</v>
      </c>
      <c r="C357">
        <f>_xlfn.XLOOKUP(A357, 'bedroom data'!A:A, 'bedroom data'!B:B, "Not Found")</f>
        <v>3</v>
      </c>
      <c r="D357">
        <f>_xlfn.XLOOKUP(A357, 'bathroom data'!A:A, 'bathroom data'!B:B, "Not Found")</f>
        <v>2.5</v>
      </c>
      <c r="E357" t="str">
        <f>_xlfn.XLOOKUP(A357, 'bedroom data'!A:A, 'bedroom data'!C:C, "Not Found")</f>
        <v>Capitol Hill</v>
      </c>
      <c r="F357" t="s">
        <v>709</v>
      </c>
      <c r="G357" t="s">
        <v>152</v>
      </c>
      <c r="H357" t="s">
        <v>66</v>
      </c>
      <c r="I357">
        <v>0</v>
      </c>
      <c r="J357" t="s">
        <v>152</v>
      </c>
      <c r="K357" t="s">
        <v>13</v>
      </c>
      <c r="L357" t="s">
        <v>13</v>
      </c>
    </row>
    <row r="358" spans="1:12" x14ac:dyDescent="0.5">
      <c r="A358" t="s">
        <v>708</v>
      </c>
      <c r="B358">
        <f>_xlfn.XLOOKUP(A358, 'sqft data'!A:A, 'sqft data'!C:C, "Not Found")</f>
        <v>2400</v>
      </c>
      <c r="C358">
        <f>_xlfn.XLOOKUP(A358, 'bedroom data'!A:A, 'bedroom data'!B:B, "Not Found")</f>
        <v>3</v>
      </c>
      <c r="D358">
        <f>_xlfn.XLOOKUP(A358, 'bathroom data'!A:A, 'bathroom data'!B:B, "Not Found")</f>
        <v>2.5</v>
      </c>
      <c r="E358" t="str">
        <f>_xlfn.XLOOKUP(A358, 'bedroom data'!A:A, 'bedroom data'!C:C, "Not Found")</f>
        <v>Capitol Hill</v>
      </c>
      <c r="F358" t="s">
        <v>709</v>
      </c>
      <c r="G358" t="s">
        <v>712</v>
      </c>
      <c r="H358" t="s">
        <v>253</v>
      </c>
      <c r="I358">
        <v>205</v>
      </c>
      <c r="J358" t="s">
        <v>66</v>
      </c>
      <c r="K358" t="s">
        <v>13</v>
      </c>
      <c r="L358" t="s">
        <v>36</v>
      </c>
    </row>
    <row r="359" spans="1:12" x14ac:dyDescent="0.5">
      <c r="A359" t="s">
        <v>708</v>
      </c>
      <c r="B359">
        <f>_xlfn.XLOOKUP(A359, 'sqft data'!A:A, 'sqft data'!C:C, "Not Found")</f>
        <v>2400</v>
      </c>
      <c r="C359">
        <f>_xlfn.XLOOKUP(A359, 'bedroom data'!A:A, 'bedroom data'!B:B, "Not Found")</f>
        <v>3</v>
      </c>
      <c r="D359">
        <f>_xlfn.XLOOKUP(A359, 'bathroom data'!A:A, 'bathroom data'!B:B, "Not Found")</f>
        <v>2.5</v>
      </c>
      <c r="E359" t="str">
        <f>_xlfn.XLOOKUP(A359, 'bedroom data'!A:A, 'bedroom data'!C:C, "Not Found")</f>
        <v>Capitol Hill</v>
      </c>
      <c r="F359" t="s">
        <v>709</v>
      </c>
      <c r="G359" t="s">
        <v>253</v>
      </c>
      <c r="H359" t="s">
        <v>627</v>
      </c>
      <c r="I359">
        <v>0</v>
      </c>
      <c r="J359" t="s">
        <v>592</v>
      </c>
      <c r="K359" t="s">
        <v>13</v>
      </c>
      <c r="L359" t="s">
        <v>13</v>
      </c>
    </row>
    <row r="360" spans="1:12" x14ac:dyDescent="0.5">
      <c r="A360" t="s">
        <v>713</v>
      </c>
      <c r="B360" t="str">
        <f>_xlfn.XLOOKUP(A360, 'sqft data'!A:A, 'sqft data'!C:C, "Not Found")</f>
        <v>Not Found</v>
      </c>
      <c r="C360">
        <f>_xlfn.XLOOKUP(A360, 'bedroom data'!A:A, 'bedroom data'!B:B, "Not Found")</f>
        <v>3</v>
      </c>
      <c r="D360">
        <f>_xlfn.XLOOKUP(A360, 'bathroom data'!A:A, 'bathroom data'!B:B, "Not Found")</f>
        <v>2.5</v>
      </c>
      <c r="E360" t="str">
        <f>_xlfn.XLOOKUP(A360, 'bedroom data'!A:A, 'bedroom data'!C:C, "Not Found")</f>
        <v>Arlington</v>
      </c>
      <c r="F360" t="s">
        <v>714</v>
      </c>
      <c r="G360" t="s">
        <v>382</v>
      </c>
      <c r="H360" t="s">
        <v>135</v>
      </c>
      <c r="I360">
        <v>0</v>
      </c>
      <c r="J360" t="s">
        <v>306</v>
      </c>
      <c r="K360" t="s">
        <v>13</v>
      </c>
      <c r="L360" t="s">
        <v>13</v>
      </c>
    </row>
    <row r="361" spans="1:12" x14ac:dyDescent="0.5">
      <c r="A361" t="s">
        <v>715</v>
      </c>
      <c r="B361" t="str">
        <f>_xlfn.XLOOKUP(A361, 'sqft data'!A:A, 'sqft data'!C:C, "Not Found")</f>
        <v>Not Found</v>
      </c>
      <c r="C361">
        <f>_xlfn.XLOOKUP(A361, 'bedroom data'!A:A, 'bedroom data'!B:B, "Not Found")</f>
        <v>1</v>
      </c>
      <c r="D361">
        <f>_xlfn.XLOOKUP(A361, 'bathroom data'!A:A, 'bathroom data'!B:B, "Not Found")</f>
        <v>1</v>
      </c>
      <c r="E361" t="str">
        <f>_xlfn.XLOOKUP(A361, 'bedroom data'!A:A, 'bedroom data'!C:C, "Not Found")</f>
        <v>Arlington</v>
      </c>
      <c r="F361" t="s">
        <v>714</v>
      </c>
      <c r="G361" t="s">
        <v>489</v>
      </c>
      <c r="H361" t="s">
        <v>716</v>
      </c>
      <c r="I361">
        <v>87</v>
      </c>
      <c r="J361" t="s">
        <v>143</v>
      </c>
      <c r="K361" t="s">
        <v>13</v>
      </c>
      <c r="L361" t="s">
        <v>13</v>
      </c>
    </row>
    <row r="362" spans="1:12" x14ac:dyDescent="0.5">
      <c r="A362" t="s">
        <v>715</v>
      </c>
      <c r="B362" t="str">
        <f>_xlfn.XLOOKUP(A362, 'sqft data'!A:A, 'sqft data'!C:C, "Not Found")</f>
        <v>Not Found</v>
      </c>
      <c r="C362">
        <f>_xlfn.XLOOKUP(A362, 'bedroom data'!A:A, 'bedroom data'!B:B, "Not Found")</f>
        <v>1</v>
      </c>
      <c r="D362">
        <f>_xlfn.XLOOKUP(A362, 'bathroom data'!A:A, 'bathroom data'!B:B, "Not Found")</f>
        <v>1</v>
      </c>
      <c r="E362" t="str">
        <f>_xlfn.XLOOKUP(A362, 'bedroom data'!A:A, 'bedroom data'!C:C, "Not Found")</f>
        <v>Arlington</v>
      </c>
      <c r="F362" t="s">
        <v>714</v>
      </c>
      <c r="G362" t="s">
        <v>357</v>
      </c>
      <c r="H362" t="s">
        <v>293</v>
      </c>
      <c r="I362">
        <v>0</v>
      </c>
      <c r="J362" t="s">
        <v>357</v>
      </c>
      <c r="K362" t="s">
        <v>13</v>
      </c>
      <c r="L362" t="s">
        <v>13</v>
      </c>
    </row>
    <row r="363" spans="1:12" x14ac:dyDescent="0.5">
      <c r="A363" t="s">
        <v>717</v>
      </c>
      <c r="B363" t="str">
        <f>_xlfn.XLOOKUP(A363, 'sqft data'!A:A, 'sqft data'!C:C, "Not Found")</f>
        <v>Not Found</v>
      </c>
      <c r="C363">
        <f>_xlfn.XLOOKUP(A363, 'bedroom data'!A:A, 'bedroom data'!B:B, "Not Found")</f>
        <v>3</v>
      </c>
      <c r="D363">
        <f>_xlfn.XLOOKUP(A363, 'bathroom data'!A:A, 'bathroom data'!B:B, "Not Found")</f>
        <v>2.5</v>
      </c>
      <c r="E363" t="str">
        <f>_xlfn.XLOOKUP(A363, 'bedroom data'!A:A, 'bedroom data'!C:C, "Not Found")</f>
        <v>Bloomingdale</v>
      </c>
      <c r="F363" t="s">
        <v>718</v>
      </c>
      <c r="G363" t="s">
        <v>386</v>
      </c>
      <c r="H363" t="s">
        <v>287</v>
      </c>
      <c r="I363">
        <v>0</v>
      </c>
      <c r="J363" t="s">
        <v>386</v>
      </c>
      <c r="K363" t="s">
        <v>13</v>
      </c>
      <c r="L363" t="s">
        <v>13</v>
      </c>
    </row>
    <row r="364" spans="1:12" x14ac:dyDescent="0.5">
      <c r="A364" t="s">
        <v>719</v>
      </c>
      <c r="B364">
        <f>_xlfn.XLOOKUP(A364, 'sqft data'!A:A, 'sqft data'!C:C, "Not Found")</f>
        <v>550</v>
      </c>
      <c r="C364">
        <f>_xlfn.XLOOKUP(A364, 'bedroom data'!A:A, 'bedroom data'!B:B, "Not Found")</f>
        <v>1</v>
      </c>
      <c r="D364">
        <f>_xlfn.XLOOKUP(A364, 'bathroom data'!A:A, 'bathroom data'!B:B, "Not Found")</f>
        <v>1</v>
      </c>
      <c r="E364" t="str">
        <f>_xlfn.XLOOKUP(A364, 'bedroom data'!A:A, 'bedroom data'!C:C, "Not Found")</f>
        <v>Capitol Hill</v>
      </c>
      <c r="F364" t="s">
        <v>720</v>
      </c>
      <c r="G364" t="s">
        <v>169</v>
      </c>
      <c r="H364" t="s">
        <v>225</v>
      </c>
      <c r="I364">
        <v>122</v>
      </c>
      <c r="J364" t="s">
        <v>721</v>
      </c>
      <c r="K364" t="s">
        <v>13</v>
      </c>
      <c r="L364" t="s">
        <v>13</v>
      </c>
    </row>
    <row r="365" spans="1:12" x14ac:dyDescent="0.5">
      <c r="A365" t="s">
        <v>719</v>
      </c>
      <c r="B365">
        <f>_xlfn.XLOOKUP(A365, 'sqft data'!A:A, 'sqft data'!C:C, "Not Found")</f>
        <v>550</v>
      </c>
      <c r="C365">
        <f>_xlfn.XLOOKUP(A365, 'bedroom data'!A:A, 'bedroom data'!B:B, "Not Found")</f>
        <v>1</v>
      </c>
      <c r="D365">
        <f>_xlfn.XLOOKUP(A365, 'bathroom data'!A:A, 'bathroom data'!B:B, "Not Found")</f>
        <v>1</v>
      </c>
      <c r="E365" t="str">
        <f>_xlfn.XLOOKUP(A365, 'bedroom data'!A:A, 'bedroom data'!C:C, "Not Found")</f>
        <v>Capitol Hill</v>
      </c>
      <c r="F365" t="s">
        <v>720</v>
      </c>
      <c r="G365" t="s">
        <v>296</v>
      </c>
      <c r="H365" t="s">
        <v>12</v>
      </c>
      <c r="I365">
        <v>75</v>
      </c>
      <c r="J365" t="s">
        <v>172</v>
      </c>
      <c r="K365" t="s">
        <v>13</v>
      </c>
      <c r="L365" t="s">
        <v>13</v>
      </c>
    </row>
    <row r="366" spans="1:12" x14ac:dyDescent="0.5">
      <c r="A366" t="s">
        <v>719</v>
      </c>
      <c r="B366">
        <f>_xlfn.XLOOKUP(A366, 'sqft data'!A:A, 'sqft data'!C:C, "Not Found")</f>
        <v>550</v>
      </c>
      <c r="C366">
        <f>_xlfn.XLOOKUP(A366, 'bedroom data'!A:A, 'bedroom data'!B:B, "Not Found")</f>
        <v>1</v>
      </c>
      <c r="D366">
        <f>_xlfn.XLOOKUP(A366, 'bathroom data'!A:A, 'bathroom data'!B:B, "Not Found")</f>
        <v>1</v>
      </c>
      <c r="E366" t="str">
        <f>_xlfn.XLOOKUP(A366, 'bedroom data'!A:A, 'bedroom data'!C:C, "Not Found")</f>
        <v>Capitol Hill</v>
      </c>
      <c r="F366" t="s">
        <v>720</v>
      </c>
      <c r="G366" t="s">
        <v>577</v>
      </c>
      <c r="H366" t="s">
        <v>722</v>
      </c>
      <c r="I366">
        <v>104</v>
      </c>
      <c r="J366" t="s">
        <v>571</v>
      </c>
      <c r="K366" t="s">
        <v>13</v>
      </c>
      <c r="L366" t="s">
        <v>13</v>
      </c>
    </row>
    <row r="367" spans="1:12" x14ac:dyDescent="0.5">
      <c r="A367" t="s">
        <v>719</v>
      </c>
      <c r="B367">
        <f>_xlfn.XLOOKUP(A367, 'sqft data'!A:A, 'sqft data'!C:C, "Not Found")</f>
        <v>550</v>
      </c>
      <c r="C367">
        <f>_xlfn.XLOOKUP(A367, 'bedroom data'!A:A, 'bedroom data'!B:B, "Not Found")</f>
        <v>1</v>
      </c>
      <c r="D367">
        <f>_xlfn.XLOOKUP(A367, 'bathroom data'!A:A, 'bathroom data'!B:B, "Not Found")</f>
        <v>1</v>
      </c>
      <c r="E367" t="str">
        <f>_xlfn.XLOOKUP(A367, 'bedroom data'!A:A, 'bedroom data'!C:C, "Not Found")</f>
        <v>Capitol Hill</v>
      </c>
      <c r="F367" t="s">
        <v>720</v>
      </c>
      <c r="G367" t="s">
        <v>311</v>
      </c>
      <c r="H367" t="s">
        <v>541</v>
      </c>
      <c r="I367">
        <v>91.5</v>
      </c>
      <c r="J367" t="s">
        <v>700</v>
      </c>
      <c r="K367" t="s">
        <v>13</v>
      </c>
      <c r="L367" t="s">
        <v>13</v>
      </c>
    </row>
    <row r="368" spans="1:12" x14ac:dyDescent="0.5">
      <c r="A368" t="s">
        <v>719</v>
      </c>
      <c r="B368">
        <f>_xlfn.XLOOKUP(A368, 'sqft data'!A:A, 'sqft data'!C:C, "Not Found")</f>
        <v>550</v>
      </c>
      <c r="C368">
        <f>_xlfn.XLOOKUP(A368, 'bedroom data'!A:A, 'bedroom data'!B:B, "Not Found")</f>
        <v>1</v>
      </c>
      <c r="D368">
        <f>_xlfn.XLOOKUP(A368, 'bathroom data'!A:A, 'bathroom data'!B:B, "Not Found")</f>
        <v>1</v>
      </c>
      <c r="E368" t="str">
        <f>_xlfn.XLOOKUP(A368, 'bedroom data'!A:A, 'bedroom data'!C:C, "Not Found")</f>
        <v>Capitol Hill</v>
      </c>
      <c r="F368" t="s">
        <v>720</v>
      </c>
      <c r="G368" t="s">
        <v>230</v>
      </c>
      <c r="H368" t="s">
        <v>561</v>
      </c>
      <c r="I368">
        <v>104</v>
      </c>
      <c r="J368" t="s">
        <v>106</v>
      </c>
      <c r="K368" t="s">
        <v>13</v>
      </c>
      <c r="L368" t="s">
        <v>13</v>
      </c>
    </row>
    <row r="369" spans="1:12" x14ac:dyDescent="0.5">
      <c r="A369" t="s">
        <v>723</v>
      </c>
      <c r="B369" t="str">
        <f>_xlfn.XLOOKUP(A369, 'sqft data'!A:A, 'sqft data'!C:C, "Not Found")</f>
        <v>Not Found</v>
      </c>
      <c r="C369">
        <f>_xlfn.XLOOKUP(A369, 'bedroom data'!A:A, 'bedroom data'!B:B, "Not Found")</f>
        <v>1</v>
      </c>
      <c r="D369">
        <f>_xlfn.XLOOKUP(A369, 'bathroom data'!A:A, 'bathroom data'!B:B, "Not Found")</f>
        <v>1</v>
      </c>
      <c r="E369" t="str">
        <f>_xlfn.XLOOKUP(A369, 'bedroom data'!A:A, 'bedroom data'!C:C, "Not Found")</f>
        <v>Dupont /WestEnd</v>
      </c>
      <c r="F369" t="s">
        <v>724</v>
      </c>
      <c r="G369" t="s">
        <v>725</v>
      </c>
      <c r="H369" t="s">
        <v>40</v>
      </c>
      <c r="I369">
        <v>85.73</v>
      </c>
      <c r="J369" t="s">
        <v>726</v>
      </c>
      <c r="K369" t="s">
        <v>13</v>
      </c>
      <c r="L369" t="s">
        <v>13</v>
      </c>
    </row>
    <row r="370" spans="1:12" x14ac:dyDescent="0.5">
      <c r="A370" t="s">
        <v>727</v>
      </c>
      <c r="B370" t="str">
        <f>_xlfn.XLOOKUP(A370, 'sqft data'!A:A, 'sqft data'!C:C, "Not Found")</f>
        <v>Not Found</v>
      </c>
      <c r="C370">
        <f>_xlfn.XLOOKUP(A370, 'bedroom data'!A:A, 'bedroom data'!B:B, "Not Found")</f>
        <v>3</v>
      </c>
      <c r="D370">
        <f>_xlfn.XLOOKUP(A370, 'bathroom data'!A:A, 'bathroom data'!B:B, "Not Found")</f>
        <v>3.5</v>
      </c>
      <c r="E370" t="str">
        <f>_xlfn.XLOOKUP(A370, 'bedroom data'!A:A, 'bedroom data'!C:C, "Not Found")</f>
        <v>Arlington</v>
      </c>
      <c r="F370" t="s">
        <v>728</v>
      </c>
      <c r="G370" t="s">
        <v>125</v>
      </c>
      <c r="H370" t="s">
        <v>525</v>
      </c>
      <c r="I370">
        <v>0</v>
      </c>
      <c r="J370" t="s">
        <v>125</v>
      </c>
      <c r="K370" t="s">
        <v>13</v>
      </c>
      <c r="L370" t="s">
        <v>13</v>
      </c>
    </row>
    <row r="371" spans="1:12" x14ac:dyDescent="0.5">
      <c r="A371" t="s">
        <v>729</v>
      </c>
      <c r="B371" t="str">
        <f>_xlfn.XLOOKUP(A371, 'sqft data'!A:A, 'sqft data'!C:C, "Not Found")</f>
        <v>Not Found</v>
      </c>
      <c r="C371">
        <f>_xlfn.XLOOKUP(A371, 'bedroom data'!A:A, 'bedroom data'!B:B, "Not Found")</f>
        <v>1</v>
      </c>
      <c r="D371">
        <f>_xlfn.XLOOKUP(A371, 'bathroom data'!A:A, 'bathroom data'!B:B, "Not Found")</f>
        <v>1</v>
      </c>
      <c r="E371" t="str">
        <f>_xlfn.XLOOKUP(A371, 'bedroom data'!A:A, 'bedroom data'!C:C, "Not Found")</f>
        <v>Dupont Circle</v>
      </c>
      <c r="F371" t="s">
        <v>730</v>
      </c>
      <c r="G371" t="s">
        <v>731</v>
      </c>
      <c r="H371" t="s">
        <v>532</v>
      </c>
      <c r="I371">
        <v>0</v>
      </c>
      <c r="J371" t="s">
        <v>732</v>
      </c>
      <c r="K371" t="s">
        <v>13</v>
      </c>
      <c r="L371" t="s">
        <v>13</v>
      </c>
    </row>
    <row r="372" spans="1:12" x14ac:dyDescent="0.5">
      <c r="A372" t="s">
        <v>733</v>
      </c>
      <c r="B372">
        <f>_xlfn.XLOOKUP(A372, 'sqft data'!A:A, 'sqft data'!C:C, "Not Found")</f>
        <v>400</v>
      </c>
      <c r="C372" t="str">
        <f>_xlfn.XLOOKUP(A372, 'bedroom data'!A:A, 'bedroom data'!B:B, "Not Found")</f>
        <v>Studio</v>
      </c>
      <c r="D372">
        <f>_xlfn.XLOOKUP(A372, 'bathroom data'!A:A, 'bathroom data'!B:B, "Not Found")</f>
        <v>1</v>
      </c>
      <c r="E372" t="str">
        <f>_xlfn.XLOOKUP(A372, 'bedroom data'!A:A, 'bedroom data'!C:C, "Not Found")</f>
        <v>Dupont /WestEnd</v>
      </c>
      <c r="F372" t="s">
        <v>734</v>
      </c>
      <c r="G372" t="s">
        <v>735</v>
      </c>
      <c r="H372" t="s">
        <v>243</v>
      </c>
      <c r="I372">
        <v>85</v>
      </c>
      <c r="J372" t="s">
        <v>735</v>
      </c>
      <c r="K372" t="s">
        <v>13</v>
      </c>
      <c r="L372" t="s">
        <v>13</v>
      </c>
    </row>
    <row r="373" spans="1:12" x14ac:dyDescent="0.5">
      <c r="A373" t="s">
        <v>733</v>
      </c>
      <c r="B373">
        <f>_xlfn.XLOOKUP(A373, 'sqft data'!A:A, 'sqft data'!C:C, "Not Found")</f>
        <v>400</v>
      </c>
      <c r="C373" t="str">
        <f>_xlfn.XLOOKUP(A373, 'bedroom data'!A:A, 'bedroom data'!B:B, "Not Found")</f>
        <v>Studio</v>
      </c>
      <c r="D373">
        <f>_xlfn.XLOOKUP(A373, 'bathroom data'!A:A, 'bathroom data'!B:B, "Not Found")</f>
        <v>1</v>
      </c>
      <c r="E373" t="str">
        <f>_xlfn.XLOOKUP(A373, 'bedroom data'!A:A, 'bedroom data'!C:C, "Not Found")</f>
        <v>Dupont /WestEnd</v>
      </c>
      <c r="F373" t="s">
        <v>734</v>
      </c>
      <c r="G373" t="s">
        <v>243</v>
      </c>
      <c r="H373" t="s">
        <v>135</v>
      </c>
      <c r="I373">
        <v>90</v>
      </c>
      <c r="J373" t="s">
        <v>21</v>
      </c>
      <c r="K373" t="s">
        <v>13</v>
      </c>
      <c r="L373" t="s">
        <v>13</v>
      </c>
    </row>
    <row r="374" spans="1:12" x14ac:dyDescent="0.5">
      <c r="A374" t="s">
        <v>733</v>
      </c>
      <c r="B374">
        <f>_xlfn.XLOOKUP(A374, 'sqft data'!A:A, 'sqft data'!C:C, "Not Found")</f>
        <v>400</v>
      </c>
      <c r="C374" t="str">
        <f>_xlfn.XLOOKUP(A374, 'bedroom data'!A:A, 'bedroom data'!B:B, "Not Found")</f>
        <v>Studio</v>
      </c>
      <c r="D374">
        <f>_xlfn.XLOOKUP(A374, 'bathroom data'!A:A, 'bathroom data'!B:B, "Not Found")</f>
        <v>1</v>
      </c>
      <c r="E374" t="str">
        <f>_xlfn.XLOOKUP(A374, 'bedroom data'!A:A, 'bedroom data'!C:C, "Not Found")</f>
        <v>Dupont /WestEnd</v>
      </c>
      <c r="F374" t="s">
        <v>734</v>
      </c>
      <c r="G374" t="s">
        <v>135</v>
      </c>
      <c r="H374" t="s">
        <v>83</v>
      </c>
      <c r="I374">
        <v>95</v>
      </c>
      <c r="J374" t="s">
        <v>736</v>
      </c>
      <c r="K374" t="s">
        <v>13</v>
      </c>
      <c r="L374" t="s">
        <v>13</v>
      </c>
    </row>
    <row r="375" spans="1:12" x14ac:dyDescent="0.5">
      <c r="A375" t="s">
        <v>737</v>
      </c>
      <c r="B375">
        <f>_xlfn.XLOOKUP(A375, 'sqft data'!A:A, 'sqft data'!C:C, "Not Found")</f>
        <v>381</v>
      </c>
      <c r="C375" t="str">
        <f>_xlfn.XLOOKUP(A375, 'bedroom data'!A:A, 'bedroom data'!B:B, "Not Found")</f>
        <v>Studio</v>
      </c>
      <c r="D375">
        <f>_xlfn.XLOOKUP(A375, 'bathroom data'!A:A, 'bathroom data'!B:B, "Not Found")</f>
        <v>1</v>
      </c>
      <c r="E375" t="str">
        <f>_xlfn.XLOOKUP(A375, 'bedroom data'!A:A, 'bedroom data'!C:C, "Not Found")</f>
        <v>Dupont /WestEnd</v>
      </c>
      <c r="F375" t="s">
        <v>738</v>
      </c>
      <c r="G375" t="s">
        <v>21</v>
      </c>
      <c r="H375" t="s">
        <v>537</v>
      </c>
      <c r="I375">
        <v>91</v>
      </c>
      <c r="J375" t="s">
        <v>645</v>
      </c>
      <c r="K375" t="s">
        <v>13</v>
      </c>
      <c r="L375" t="s">
        <v>13</v>
      </c>
    </row>
    <row r="376" spans="1:12" x14ac:dyDescent="0.5">
      <c r="A376" t="s">
        <v>737</v>
      </c>
      <c r="B376">
        <f>_xlfn.XLOOKUP(A376, 'sqft data'!A:A, 'sqft data'!C:C, "Not Found")</f>
        <v>381</v>
      </c>
      <c r="C376" t="str">
        <f>_xlfn.XLOOKUP(A376, 'bedroom data'!A:A, 'bedroom data'!B:B, "Not Found")</f>
        <v>Studio</v>
      </c>
      <c r="D376">
        <f>_xlfn.XLOOKUP(A376, 'bathroom data'!A:A, 'bathroom data'!B:B, "Not Found")</f>
        <v>1</v>
      </c>
      <c r="E376" t="str">
        <f>_xlfn.XLOOKUP(A376, 'bedroom data'!A:A, 'bedroom data'!C:C, "Not Found")</f>
        <v>Dupont /WestEnd</v>
      </c>
      <c r="F376" t="s">
        <v>738</v>
      </c>
      <c r="G376" t="s">
        <v>739</v>
      </c>
      <c r="H376" t="s">
        <v>29</v>
      </c>
      <c r="I376">
        <v>86</v>
      </c>
      <c r="J376" t="s">
        <v>384</v>
      </c>
      <c r="K376" t="s">
        <v>13</v>
      </c>
      <c r="L376" t="s">
        <v>13</v>
      </c>
    </row>
    <row r="377" spans="1:12" x14ac:dyDescent="0.5">
      <c r="A377" t="s">
        <v>737</v>
      </c>
      <c r="B377">
        <f>_xlfn.XLOOKUP(A377, 'sqft data'!A:A, 'sqft data'!C:C, "Not Found")</f>
        <v>381</v>
      </c>
      <c r="C377" t="str">
        <f>_xlfn.XLOOKUP(A377, 'bedroom data'!A:A, 'bedroom data'!B:B, "Not Found")</f>
        <v>Studio</v>
      </c>
      <c r="D377">
        <f>_xlfn.XLOOKUP(A377, 'bathroom data'!A:A, 'bathroom data'!B:B, "Not Found")</f>
        <v>1</v>
      </c>
      <c r="E377" t="str">
        <f>_xlfn.XLOOKUP(A377, 'bedroom data'!A:A, 'bedroom data'!C:C, "Not Found")</f>
        <v>Dupont /WestEnd</v>
      </c>
      <c r="F377" t="s">
        <v>738</v>
      </c>
      <c r="G377" t="s">
        <v>421</v>
      </c>
      <c r="H377" t="s">
        <v>350</v>
      </c>
      <c r="I377">
        <v>85</v>
      </c>
      <c r="J377" t="s">
        <v>634</v>
      </c>
      <c r="K377" t="s">
        <v>13</v>
      </c>
      <c r="L377" t="s">
        <v>13</v>
      </c>
    </row>
    <row r="378" spans="1:12" x14ac:dyDescent="0.5">
      <c r="A378" t="s">
        <v>737</v>
      </c>
      <c r="B378">
        <f>_xlfn.XLOOKUP(A378, 'sqft data'!A:A, 'sqft data'!C:C, "Not Found")</f>
        <v>381</v>
      </c>
      <c r="C378" t="str">
        <f>_xlfn.XLOOKUP(A378, 'bedroom data'!A:A, 'bedroom data'!B:B, "Not Found")</f>
        <v>Studio</v>
      </c>
      <c r="D378">
        <f>_xlfn.XLOOKUP(A378, 'bathroom data'!A:A, 'bathroom data'!B:B, "Not Found")</f>
        <v>1</v>
      </c>
      <c r="E378" t="str">
        <f>_xlfn.XLOOKUP(A378, 'bedroom data'!A:A, 'bedroom data'!C:C, "Not Found")</f>
        <v>Dupont /WestEnd</v>
      </c>
      <c r="F378" t="s">
        <v>738</v>
      </c>
      <c r="G378" t="s">
        <v>136</v>
      </c>
      <c r="H378" t="s">
        <v>740</v>
      </c>
      <c r="I378">
        <v>94</v>
      </c>
      <c r="J378" t="s">
        <v>473</v>
      </c>
      <c r="K378" t="s">
        <v>13</v>
      </c>
      <c r="L378" t="s">
        <v>13</v>
      </c>
    </row>
    <row r="379" spans="1:12" x14ac:dyDescent="0.5">
      <c r="A379" t="s">
        <v>737</v>
      </c>
      <c r="B379">
        <f>_xlfn.XLOOKUP(A379, 'sqft data'!A:A, 'sqft data'!C:C, "Not Found")</f>
        <v>381</v>
      </c>
      <c r="C379" t="str">
        <f>_xlfn.XLOOKUP(A379, 'bedroom data'!A:A, 'bedroom data'!B:B, "Not Found")</f>
        <v>Studio</v>
      </c>
      <c r="D379">
        <f>_xlfn.XLOOKUP(A379, 'bathroom data'!A:A, 'bathroom data'!B:B, "Not Found")</f>
        <v>1</v>
      </c>
      <c r="E379" t="str">
        <f>_xlfn.XLOOKUP(A379, 'bedroom data'!A:A, 'bedroom data'!C:C, "Not Found")</f>
        <v>Dupont /WestEnd</v>
      </c>
      <c r="F379" t="s">
        <v>738</v>
      </c>
      <c r="G379" t="s">
        <v>741</v>
      </c>
      <c r="H379" t="s">
        <v>742</v>
      </c>
      <c r="I379">
        <v>94</v>
      </c>
      <c r="J379" t="s">
        <v>583</v>
      </c>
      <c r="K379" t="s">
        <v>13</v>
      </c>
      <c r="L379" t="s">
        <v>13</v>
      </c>
    </row>
    <row r="380" spans="1:12" x14ac:dyDescent="0.5">
      <c r="A380" t="s">
        <v>743</v>
      </c>
      <c r="B380">
        <f>_xlfn.XLOOKUP(A380, 'sqft data'!A:A, 'sqft data'!C:C, "Not Found")</f>
        <v>450</v>
      </c>
      <c r="C380" t="str">
        <f>_xlfn.XLOOKUP(A380, 'bedroom data'!A:A, 'bedroom data'!B:B, "Not Found")</f>
        <v>Studio</v>
      </c>
      <c r="D380">
        <f>_xlfn.XLOOKUP(A380, 'bathroom data'!A:A, 'bathroom data'!B:B, "Not Found")</f>
        <v>1</v>
      </c>
      <c r="E380" t="str">
        <f>_xlfn.XLOOKUP(A380, 'bedroom data'!A:A, 'bedroom data'!C:C, "Not Found")</f>
        <v>Dupont /WestEnd</v>
      </c>
      <c r="F380" t="s">
        <v>581</v>
      </c>
      <c r="G380" t="s">
        <v>390</v>
      </c>
      <c r="H380" t="s">
        <v>194</v>
      </c>
      <c r="I380">
        <v>95</v>
      </c>
      <c r="J380" t="s">
        <v>181</v>
      </c>
      <c r="K380" t="s">
        <v>13</v>
      </c>
      <c r="L380" t="s">
        <v>13</v>
      </c>
    </row>
    <row r="381" spans="1:12" x14ac:dyDescent="0.5">
      <c r="A381" t="s">
        <v>743</v>
      </c>
      <c r="B381">
        <f>_xlfn.XLOOKUP(A381, 'sqft data'!A:A, 'sqft data'!C:C, "Not Found")</f>
        <v>450</v>
      </c>
      <c r="C381" t="str">
        <f>_xlfn.XLOOKUP(A381, 'bedroom data'!A:A, 'bedroom data'!B:B, "Not Found")</f>
        <v>Studio</v>
      </c>
      <c r="D381">
        <f>_xlfn.XLOOKUP(A381, 'bathroom data'!A:A, 'bathroom data'!B:B, "Not Found")</f>
        <v>1</v>
      </c>
      <c r="E381" t="str">
        <f>_xlfn.XLOOKUP(A381, 'bedroom data'!A:A, 'bedroom data'!C:C, "Not Found")</f>
        <v>Dupont /WestEnd</v>
      </c>
      <c r="F381" t="s">
        <v>581</v>
      </c>
      <c r="G381" t="s">
        <v>744</v>
      </c>
      <c r="H381" t="s">
        <v>582</v>
      </c>
      <c r="I381">
        <v>95</v>
      </c>
      <c r="J381" t="s">
        <v>287</v>
      </c>
      <c r="K381" t="s">
        <v>13</v>
      </c>
      <c r="L381" t="s">
        <v>13</v>
      </c>
    </row>
    <row r="382" spans="1:12" x14ac:dyDescent="0.5">
      <c r="A382" t="s">
        <v>743</v>
      </c>
      <c r="B382">
        <f>_xlfn.XLOOKUP(A382, 'sqft data'!A:A, 'sqft data'!C:C, "Not Found")</f>
        <v>450</v>
      </c>
      <c r="C382" t="str">
        <f>_xlfn.XLOOKUP(A382, 'bedroom data'!A:A, 'bedroom data'!B:B, "Not Found")</f>
        <v>Studio</v>
      </c>
      <c r="D382">
        <f>_xlfn.XLOOKUP(A382, 'bathroom data'!A:A, 'bathroom data'!B:B, "Not Found")</f>
        <v>1</v>
      </c>
      <c r="E382" t="str">
        <f>_xlfn.XLOOKUP(A382, 'bedroom data'!A:A, 'bedroom data'!C:C, "Not Found")</f>
        <v>Dupont /WestEnd</v>
      </c>
      <c r="F382" t="s">
        <v>581</v>
      </c>
      <c r="G382" t="s">
        <v>745</v>
      </c>
      <c r="H382" t="s">
        <v>746</v>
      </c>
      <c r="I382">
        <v>95</v>
      </c>
      <c r="J382" t="s">
        <v>673</v>
      </c>
      <c r="K382" t="s">
        <v>13</v>
      </c>
      <c r="L382" t="s">
        <v>13</v>
      </c>
    </row>
    <row r="383" spans="1:12" x14ac:dyDescent="0.5">
      <c r="A383" t="s">
        <v>743</v>
      </c>
      <c r="B383">
        <f>_xlfn.XLOOKUP(A383, 'sqft data'!A:A, 'sqft data'!C:C, "Not Found")</f>
        <v>450</v>
      </c>
      <c r="C383" t="str">
        <f>_xlfn.XLOOKUP(A383, 'bedroom data'!A:A, 'bedroom data'!B:B, "Not Found")</f>
        <v>Studio</v>
      </c>
      <c r="D383">
        <f>_xlfn.XLOOKUP(A383, 'bathroom data'!A:A, 'bathroom data'!B:B, "Not Found")</f>
        <v>1</v>
      </c>
      <c r="E383" t="str">
        <f>_xlfn.XLOOKUP(A383, 'bedroom data'!A:A, 'bedroom data'!C:C, "Not Found")</f>
        <v>Dupont /WestEnd</v>
      </c>
      <c r="F383" t="s">
        <v>581</v>
      </c>
      <c r="G383" t="s">
        <v>747</v>
      </c>
      <c r="H383" t="s">
        <v>748</v>
      </c>
      <c r="I383">
        <v>82.8</v>
      </c>
      <c r="J383" t="s">
        <v>749</v>
      </c>
      <c r="K383" t="s">
        <v>13</v>
      </c>
      <c r="L383" t="s">
        <v>13</v>
      </c>
    </row>
    <row r="384" spans="1:12" x14ac:dyDescent="0.5">
      <c r="A384" t="s">
        <v>750</v>
      </c>
      <c r="B384">
        <f>_xlfn.XLOOKUP(A384, 'sqft data'!A:A, 'sqft data'!C:C, "Not Found")</f>
        <v>500</v>
      </c>
      <c r="C384" t="str">
        <f>_xlfn.XLOOKUP(A384, 'bedroom data'!A:A, 'bedroom data'!B:B, "Not Found")</f>
        <v>Studio</v>
      </c>
      <c r="D384">
        <f>_xlfn.XLOOKUP(A384, 'bathroom data'!A:A, 'bathroom data'!B:B, "Not Found")</f>
        <v>1</v>
      </c>
      <c r="E384" t="str">
        <f>_xlfn.XLOOKUP(A384, 'bedroom data'!A:A, 'bedroom data'!C:C, "Not Found")</f>
        <v>Dupont /WestEnd</v>
      </c>
      <c r="F384" t="s">
        <v>751</v>
      </c>
      <c r="G384" t="s">
        <v>558</v>
      </c>
      <c r="H384" t="s">
        <v>44</v>
      </c>
      <c r="I384">
        <v>97</v>
      </c>
      <c r="J384" t="s">
        <v>35</v>
      </c>
      <c r="K384" t="s">
        <v>13</v>
      </c>
      <c r="L384" t="s">
        <v>13</v>
      </c>
    </row>
    <row r="385" spans="1:12" x14ac:dyDescent="0.5">
      <c r="A385" t="s">
        <v>750</v>
      </c>
      <c r="B385">
        <f>_xlfn.XLOOKUP(A385, 'sqft data'!A:A, 'sqft data'!C:C, "Not Found")</f>
        <v>500</v>
      </c>
      <c r="C385" t="str">
        <f>_xlfn.XLOOKUP(A385, 'bedroom data'!A:A, 'bedroom data'!B:B, "Not Found")</f>
        <v>Studio</v>
      </c>
      <c r="D385">
        <f>_xlfn.XLOOKUP(A385, 'bathroom data'!A:A, 'bathroom data'!B:B, "Not Found")</f>
        <v>1</v>
      </c>
      <c r="E385" t="str">
        <f>_xlfn.XLOOKUP(A385, 'bedroom data'!A:A, 'bedroom data'!C:C, "Not Found")</f>
        <v>Dupont /WestEnd</v>
      </c>
      <c r="F385" t="s">
        <v>751</v>
      </c>
      <c r="G385" t="s">
        <v>301</v>
      </c>
      <c r="H385" t="s">
        <v>595</v>
      </c>
      <c r="I385">
        <v>97</v>
      </c>
      <c r="J385" t="s">
        <v>379</v>
      </c>
      <c r="K385" t="s">
        <v>13</v>
      </c>
      <c r="L385" t="s">
        <v>13</v>
      </c>
    </row>
    <row r="386" spans="1:12" x14ac:dyDescent="0.5">
      <c r="A386" t="s">
        <v>750</v>
      </c>
      <c r="B386">
        <f>_xlfn.XLOOKUP(A386, 'sqft data'!A:A, 'sqft data'!C:C, "Not Found")</f>
        <v>500</v>
      </c>
      <c r="C386" t="str">
        <f>_xlfn.XLOOKUP(A386, 'bedroom data'!A:A, 'bedroom data'!B:B, "Not Found")</f>
        <v>Studio</v>
      </c>
      <c r="D386">
        <f>_xlfn.XLOOKUP(A386, 'bathroom data'!A:A, 'bathroom data'!B:B, "Not Found")</f>
        <v>1</v>
      </c>
      <c r="E386" t="str">
        <f>_xlfn.XLOOKUP(A386, 'bedroom data'!A:A, 'bedroom data'!C:C, "Not Found")</f>
        <v>Dupont /WestEnd</v>
      </c>
      <c r="F386" t="s">
        <v>751</v>
      </c>
      <c r="G386" t="s">
        <v>752</v>
      </c>
      <c r="H386" t="s">
        <v>448</v>
      </c>
      <c r="I386">
        <v>97</v>
      </c>
      <c r="J386" t="s">
        <v>752</v>
      </c>
      <c r="K386" t="s">
        <v>13</v>
      </c>
      <c r="L386" t="s">
        <v>13</v>
      </c>
    </row>
    <row r="387" spans="1:12" x14ac:dyDescent="0.5">
      <c r="A387" t="s">
        <v>750</v>
      </c>
      <c r="B387">
        <f>_xlfn.XLOOKUP(A387, 'sqft data'!A:A, 'sqft data'!C:C, "Not Found")</f>
        <v>500</v>
      </c>
      <c r="C387" t="str">
        <f>_xlfn.XLOOKUP(A387, 'bedroom data'!A:A, 'bedroom data'!B:B, "Not Found")</f>
        <v>Studio</v>
      </c>
      <c r="D387">
        <f>_xlfn.XLOOKUP(A387, 'bathroom data'!A:A, 'bathroom data'!B:B, "Not Found")</f>
        <v>1</v>
      </c>
      <c r="E387" t="str">
        <f>_xlfn.XLOOKUP(A387, 'bedroom data'!A:A, 'bedroom data'!C:C, "Not Found")</f>
        <v>Dupont /WestEnd</v>
      </c>
      <c r="F387" t="s">
        <v>751</v>
      </c>
      <c r="G387" t="s">
        <v>486</v>
      </c>
      <c r="H387" t="s">
        <v>604</v>
      </c>
      <c r="I387">
        <v>97</v>
      </c>
      <c r="J387" t="s">
        <v>140</v>
      </c>
      <c r="K387" t="s">
        <v>13</v>
      </c>
      <c r="L387" t="s">
        <v>13</v>
      </c>
    </row>
    <row r="388" spans="1:12" x14ac:dyDescent="0.5">
      <c r="A388" t="s">
        <v>753</v>
      </c>
      <c r="B388" t="str">
        <f>_xlfn.XLOOKUP(A388, 'sqft data'!A:A, 'sqft data'!C:C, "Not Found")</f>
        <v>Not Found</v>
      </c>
      <c r="C388" t="str">
        <f>_xlfn.XLOOKUP(A388, 'bedroom data'!A:A, 'bedroom data'!B:B, "Not Found")</f>
        <v>Studio</v>
      </c>
      <c r="D388">
        <f>_xlfn.XLOOKUP(A388, 'bathroom data'!A:A, 'bathroom data'!B:B, "Not Found")</f>
        <v>1</v>
      </c>
      <c r="E388" t="str">
        <f>_xlfn.XLOOKUP(A388, 'bedroom data'!A:A, 'bedroom data'!C:C, "Not Found")</f>
        <v>Dupont /WestEnd</v>
      </c>
      <c r="F388" t="s">
        <v>754</v>
      </c>
      <c r="G388" t="s">
        <v>21</v>
      </c>
      <c r="H388" t="s">
        <v>160</v>
      </c>
      <c r="I388">
        <v>94.78</v>
      </c>
      <c r="J388" t="s">
        <v>755</v>
      </c>
      <c r="K388" t="s">
        <v>13</v>
      </c>
      <c r="L388" t="s">
        <v>13</v>
      </c>
    </row>
    <row r="389" spans="1:12" x14ac:dyDescent="0.5">
      <c r="A389" t="s">
        <v>756</v>
      </c>
      <c r="B389" t="str">
        <f>_xlfn.XLOOKUP(A389, 'sqft data'!A:A, 'sqft data'!C:C, "Not Found")</f>
        <v>Not Found</v>
      </c>
      <c r="C389" t="str">
        <f>_xlfn.XLOOKUP(A389, 'bedroom data'!A:A, 'bedroom data'!B:B, "Not Found")</f>
        <v>Studio</v>
      </c>
      <c r="D389">
        <f>_xlfn.XLOOKUP(A389, 'bathroom data'!A:A, 'bathroom data'!B:B, "Not Found")</f>
        <v>1</v>
      </c>
      <c r="E389" t="str">
        <f>_xlfn.XLOOKUP(A389, 'bedroom data'!A:A, 'bedroom data'!C:C, "Not Found")</f>
        <v>Dupont /WestEnd</v>
      </c>
      <c r="F389" t="s">
        <v>247</v>
      </c>
      <c r="G389" t="s">
        <v>757</v>
      </c>
      <c r="H389" t="s">
        <v>113</v>
      </c>
      <c r="I389">
        <v>84</v>
      </c>
      <c r="J389" t="s">
        <v>758</v>
      </c>
      <c r="K389" t="s">
        <v>13</v>
      </c>
      <c r="L389" t="s">
        <v>13</v>
      </c>
    </row>
    <row r="390" spans="1:12" x14ac:dyDescent="0.5">
      <c r="A390" t="s">
        <v>759</v>
      </c>
      <c r="B390">
        <f>_xlfn.XLOOKUP(A390, 'sqft data'!A:A, 'sqft data'!C:C, "Not Found")</f>
        <v>780</v>
      </c>
      <c r="C390">
        <f>_xlfn.XLOOKUP(A390, 'bedroom data'!A:A, 'bedroom data'!B:B, "Not Found")</f>
        <v>1</v>
      </c>
      <c r="D390">
        <f>_xlfn.XLOOKUP(A390, 'bathroom data'!A:A, 'bathroom data'!B:B, "Not Found")</f>
        <v>1</v>
      </c>
      <c r="E390" t="str">
        <f>_xlfn.XLOOKUP(A390, 'bedroom data'!A:A, 'bedroom data'!C:C, "Not Found")</f>
        <v>Dupont Circle</v>
      </c>
      <c r="F390" t="s">
        <v>760</v>
      </c>
      <c r="G390" t="s">
        <v>567</v>
      </c>
      <c r="H390" t="s">
        <v>25</v>
      </c>
      <c r="I390">
        <v>128</v>
      </c>
      <c r="J390" t="s">
        <v>181</v>
      </c>
      <c r="K390" t="s">
        <v>13</v>
      </c>
      <c r="L390" t="s">
        <v>13</v>
      </c>
    </row>
    <row r="391" spans="1:12" x14ac:dyDescent="0.5">
      <c r="A391" t="s">
        <v>759</v>
      </c>
      <c r="B391">
        <f>_xlfn.XLOOKUP(A391, 'sqft data'!A:A, 'sqft data'!C:C, "Not Found")</f>
        <v>780</v>
      </c>
      <c r="C391">
        <f>_xlfn.XLOOKUP(A391, 'bedroom data'!A:A, 'bedroom data'!B:B, "Not Found")</f>
        <v>1</v>
      </c>
      <c r="D391">
        <f>_xlfn.XLOOKUP(A391, 'bathroom data'!A:A, 'bathroom data'!B:B, "Not Found")</f>
        <v>1</v>
      </c>
      <c r="E391" t="str">
        <f>_xlfn.XLOOKUP(A391, 'bedroom data'!A:A, 'bedroom data'!C:C, "Not Found")</f>
        <v>Dupont Circle</v>
      </c>
      <c r="F391" t="s">
        <v>760</v>
      </c>
      <c r="G391" t="s">
        <v>286</v>
      </c>
      <c r="H391" t="s">
        <v>34</v>
      </c>
      <c r="I391">
        <v>118</v>
      </c>
      <c r="J391" t="s">
        <v>761</v>
      </c>
      <c r="K391" t="s">
        <v>13</v>
      </c>
      <c r="L391" t="s">
        <v>13</v>
      </c>
    </row>
    <row r="392" spans="1:12" x14ac:dyDescent="0.5">
      <c r="A392" t="s">
        <v>759</v>
      </c>
      <c r="B392">
        <f>_xlfn.XLOOKUP(A392, 'sqft data'!A:A, 'sqft data'!C:C, "Not Found")</f>
        <v>780</v>
      </c>
      <c r="C392">
        <f>_xlfn.XLOOKUP(A392, 'bedroom data'!A:A, 'bedroom data'!B:B, "Not Found")</f>
        <v>1</v>
      </c>
      <c r="D392">
        <f>_xlfn.XLOOKUP(A392, 'bathroom data'!A:A, 'bathroom data'!B:B, "Not Found")</f>
        <v>1</v>
      </c>
      <c r="E392" t="str">
        <f>_xlfn.XLOOKUP(A392, 'bedroom data'!A:A, 'bedroom data'!C:C, "Not Found")</f>
        <v>Dupont Circle</v>
      </c>
      <c r="F392" t="s">
        <v>760</v>
      </c>
      <c r="G392" t="s">
        <v>562</v>
      </c>
      <c r="H392" t="s">
        <v>175</v>
      </c>
      <c r="I392">
        <v>107</v>
      </c>
      <c r="J392" t="s">
        <v>762</v>
      </c>
      <c r="K392" t="s">
        <v>13</v>
      </c>
      <c r="L392" t="s">
        <v>13</v>
      </c>
    </row>
    <row r="393" spans="1:12" x14ac:dyDescent="0.5">
      <c r="A393" t="s">
        <v>759</v>
      </c>
      <c r="B393">
        <f>_xlfn.XLOOKUP(A393, 'sqft data'!A:A, 'sqft data'!C:C, "Not Found")</f>
        <v>780</v>
      </c>
      <c r="C393">
        <f>_xlfn.XLOOKUP(A393, 'bedroom data'!A:A, 'bedroom data'!B:B, "Not Found")</f>
        <v>1</v>
      </c>
      <c r="D393">
        <f>_xlfn.XLOOKUP(A393, 'bathroom data'!A:A, 'bathroom data'!B:B, "Not Found")</f>
        <v>1</v>
      </c>
      <c r="E393" t="str">
        <f>_xlfn.XLOOKUP(A393, 'bedroom data'!A:A, 'bedroom data'!C:C, "Not Found")</f>
        <v>Dupont Circle</v>
      </c>
      <c r="F393" t="s">
        <v>760</v>
      </c>
      <c r="G393" t="s">
        <v>534</v>
      </c>
      <c r="H393" t="s">
        <v>93</v>
      </c>
      <c r="I393">
        <v>125</v>
      </c>
      <c r="J393" t="s">
        <v>201</v>
      </c>
      <c r="K393" t="s">
        <v>13</v>
      </c>
      <c r="L393" t="s">
        <v>13</v>
      </c>
    </row>
    <row r="394" spans="1:12" x14ac:dyDescent="0.5">
      <c r="A394" t="s">
        <v>759</v>
      </c>
      <c r="B394">
        <f>_xlfn.XLOOKUP(A394, 'sqft data'!A:A, 'sqft data'!C:C, "Not Found")</f>
        <v>780</v>
      </c>
      <c r="C394">
        <f>_xlfn.XLOOKUP(A394, 'bedroom data'!A:A, 'bedroom data'!B:B, "Not Found")</f>
        <v>1</v>
      </c>
      <c r="D394">
        <f>_xlfn.XLOOKUP(A394, 'bathroom data'!A:A, 'bathroom data'!B:B, "Not Found")</f>
        <v>1</v>
      </c>
      <c r="E394" t="str">
        <f>_xlfn.XLOOKUP(A394, 'bedroom data'!A:A, 'bedroom data'!C:C, "Not Found")</f>
        <v>Dupont Circle</v>
      </c>
      <c r="F394" t="s">
        <v>760</v>
      </c>
      <c r="G394" t="s">
        <v>240</v>
      </c>
      <c r="H394" t="s">
        <v>763</v>
      </c>
      <c r="I394">
        <v>125</v>
      </c>
      <c r="J394" t="s">
        <v>486</v>
      </c>
      <c r="K394" t="s">
        <v>13</v>
      </c>
      <c r="L394" t="s">
        <v>13</v>
      </c>
    </row>
    <row r="395" spans="1:12" x14ac:dyDescent="0.5">
      <c r="A395" t="s">
        <v>764</v>
      </c>
      <c r="B395" t="str">
        <f>_xlfn.XLOOKUP(A395, 'sqft data'!A:A, 'sqft data'!C:C, "Not Found")</f>
        <v>Not Found</v>
      </c>
      <c r="C395">
        <f>_xlfn.XLOOKUP(A395, 'bedroom data'!A:A, 'bedroom data'!B:B, "Not Found")</f>
        <v>1</v>
      </c>
      <c r="D395">
        <f>_xlfn.XLOOKUP(A395, 'bathroom data'!A:A, 'bathroom data'!B:B, "Not Found")</f>
        <v>1</v>
      </c>
      <c r="E395" t="str">
        <f>_xlfn.XLOOKUP(A395, 'bedroom data'!A:A, 'bedroom data'!C:C, "Not Found")</f>
        <v>Dupont Circle</v>
      </c>
      <c r="F395" t="s">
        <v>765</v>
      </c>
      <c r="G395" t="s">
        <v>396</v>
      </c>
      <c r="H395" t="s">
        <v>597</v>
      </c>
      <c r="I395">
        <v>124</v>
      </c>
      <c r="J395" t="s">
        <v>766</v>
      </c>
      <c r="K395" t="s">
        <v>13</v>
      </c>
      <c r="L395" t="s">
        <v>36</v>
      </c>
    </row>
    <row r="396" spans="1:12" x14ac:dyDescent="0.5">
      <c r="A396" t="s">
        <v>764</v>
      </c>
      <c r="B396" t="str">
        <f>_xlfn.XLOOKUP(A396, 'sqft data'!A:A, 'sqft data'!C:C, "Not Found")</f>
        <v>Not Found</v>
      </c>
      <c r="C396">
        <f>_xlfn.XLOOKUP(A396, 'bedroom data'!A:A, 'bedroom data'!B:B, "Not Found")</f>
        <v>1</v>
      </c>
      <c r="D396">
        <f>_xlfn.XLOOKUP(A396, 'bathroom data'!A:A, 'bathroom data'!B:B, "Not Found")</f>
        <v>1</v>
      </c>
      <c r="E396" t="str">
        <f>_xlfn.XLOOKUP(A396, 'bedroom data'!A:A, 'bedroom data'!C:C, "Not Found")</f>
        <v>Dupont Circle</v>
      </c>
      <c r="F396" t="s">
        <v>765</v>
      </c>
      <c r="G396" t="s">
        <v>767</v>
      </c>
      <c r="H396" t="s">
        <v>311</v>
      </c>
      <c r="I396">
        <v>124</v>
      </c>
      <c r="J396" t="s">
        <v>537</v>
      </c>
      <c r="K396" t="s">
        <v>13</v>
      </c>
      <c r="L396" t="s">
        <v>13</v>
      </c>
    </row>
    <row r="397" spans="1:12" x14ac:dyDescent="0.5">
      <c r="A397" t="s">
        <v>764</v>
      </c>
      <c r="B397" t="str">
        <f>_xlfn.XLOOKUP(A397, 'sqft data'!A:A, 'sqft data'!C:C, "Not Found")</f>
        <v>Not Found</v>
      </c>
      <c r="C397">
        <f>_xlfn.XLOOKUP(A397, 'bedroom data'!A:A, 'bedroom data'!B:B, "Not Found")</f>
        <v>1</v>
      </c>
      <c r="D397">
        <f>_xlfn.XLOOKUP(A397, 'bathroom data'!A:A, 'bathroom data'!B:B, "Not Found")</f>
        <v>1</v>
      </c>
      <c r="E397" t="str">
        <f>_xlfn.XLOOKUP(A397, 'bedroom data'!A:A, 'bedroom data'!C:C, "Not Found")</f>
        <v>Dupont Circle</v>
      </c>
      <c r="F397" t="s">
        <v>765</v>
      </c>
      <c r="G397" t="s">
        <v>499</v>
      </c>
      <c r="H397" t="s">
        <v>693</v>
      </c>
      <c r="I397">
        <v>0</v>
      </c>
      <c r="J397" t="s">
        <v>499</v>
      </c>
      <c r="K397" t="s">
        <v>13</v>
      </c>
      <c r="L397" t="s">
        <v>13</v>
      </c>
    </row>
    <row r="398" spans="1:12" x14ac:dyDescent="0.5">
      <c r="A398" t="s">
        <v>768</v>
      </c>
      <c r="B398" t="str">
        <f>_xlfn.XLOOKUP(A398, 'sqft data'!A:A, 'sqft data'!C:C, "Not Found")</f>
        <v>Not Found</v>
      </c>
      <c r="C398">
        <f>_xlfn.XLOOKUP(A398, 'bedroom data'!A:A, 'bedroom data'!B:B, "Not Found")</f>
        <v>1</v>
      </c>
      <c r="D398">
        <f>_xlfn.XLOOKUP(A398, 'bathroom data'!A:A, 'bathroom data'!B:B, "Not Found")</f>
        <v>1</v>
      </c>
      <c r="E398" t="str">
        <f>_xlfn.XLOOKUP(A398, 'bedroom data'!A:A, 'bedroom data'!C:C, "Not Found")</f>
        <v>Eckington</v>
      </c>
      <c r="F398" t="s">
        <v>769</v>
      </c>
      <c r="G398" t="s">
        <v>87</v>
      </c>
      <c r="H398" t="s">
        <v>133</v>
      </c>
      <c r="I398">
        <v>90</v>
      </c>
      <c r="J398" t="s">
        <v>770</v>
      </c>
      <c r="K398" t="s">
        <v>13</v>
      </c>
      <c r="L398" t="s">
        <v>13</v>
      </c>
    </row>
    <row r="399" spans="1:12" x14ac:dyDescent="0.5">
      <c r="A399" t="s">
        <v>771</v>
      </c>
      <c r="B399">
        <f>_xlfn.XLOOKUP(A399, 'sqft data'!A:A, 'sqft data'!C:C, "Not Found")</f>
        <v>750</v>
      </c>
      <c r="C399">
        <f>_xlfn.XLOOKUP(A399, 'bedroom data'!A:A, 'bedroom data'!B:B, "Not Found")</f>
        <v>1</v>
      </c>
      <c r="D399">
        <f>_xlfn.XLOOKUP(A399, 'bathroom data'!A:A, 'bathroom data'!B:B, "Not Found")</f>
        <v>1</v>
      </c>
      <c r="E399" t="str">
        <f>_xlfn.XLOOKUP(A399, 'bedroom data'!A:A, 'bedroom data'!C:C, "Not Found")</f>
        <v>Dupont /WestEnd</v>
      </c>
      <c r="F399" t="s">
        <v>607</v>
      </c>
      <c r="G399" t="s">
        <v>499</v>
      </c>
      <c r="H399" t="s">
        <v>174</v>
      </c>
      <c r="I399">
        <v>0</v>
      </c>
      <c r="J399" t="s">
        <v>499</v>
      </c>
      <c r="K399" t="s">
        <v>13</v>
      </c>
      <c r="L399" t="s">
        <v>13</v>
      </c>
    </row>
    <row r="400" spans="1:12" x14ac:dyDescent="0.5">
      <c r="A400" t="s">
        <v>771</v>
      </c>
      <c r="B400">
        <f>_xlfn.XLOOKUP(A400, 'sqft data'!A:A, 'sqft data'!C:C, "Not Found")</f>
        <v>750</v>
      </c>
      <c r="C400">
        <f>_xlfn.XLOOKUP(A400, 'bedroom data'!A:A, 'bedroom data'!B:B, "Not Found")</f>
        <v>1</v>
      </c>
      <c r="D400">
        <f>_xlfn.XLOOKUP(A400, 'bathroom data'!A:A, 'bathroom data'!B:B, "Not Found")</f>
        <v>1</v>
      </c>
      <c r="E400" t="str">
        <f>_xlfn.XLOOKUP(A400, 'bedroom data'!A:A, 'bedroom data'!C:C, "Not Found")</f>
        <v>Dupont /WestEnd</v>
      </c>
      <c r="F400" t="s">
        <v>607</v>
      </c>
      <c r="G400" t="s">
        <v>199</v>
      </c>
      <c r="H400" t="s">
        <v>105</v>
      </c>
      <c r="I400">
        <v>142</v>
      </c>
      <c r="J400" t="s">
        <v>174</v>
      </c>
      <c r="K400" t="s">
        <v>13</v>
      </c>
      <c r="L400" t="s">
        <v>13</v>
      </c>
    </row>
    <row r="401" spans="1:12" x14ac:dyDescent="0.5">
      <c r="A401" t="s">
        <v>771</v>
      </c>
      <c r="B401">
        <f>_xlfn.XLOOKUP(A401, 'sqft data'!A:A, 'sqft data'!C:C, "Not Found")</f>
        <v>750</v>
      </c>
      <c r="C401">
        <f>_xlfn.XLOOKUP(A401, 'bedroom data'!A:A, 'bedroom data'!B:B, "Not Found")</f>
        <v>1</v>
      </c>
      <c r="D401">
        <f>_xlfn.XLOOKUP(A401, 'bathroom data'!A:A, 'bathroom data'!B:B, "Not Found")</f>
        <v>1</v>
      </c>
      <c r="E401" t="str">
        <f>_xlfn.XLOOKUP(A401, 'bedroom data'!A:A, 'bedroom data'!C:C, "Not Found")</f>
        <v>Dupont /WestEnd</v>
      </c>
      <c r="F401" t="s">
        <v>607</v>
      </c>
      <c r="G401" t="s">
        <v>585</v>
      </c>
      <c r="H401" t="s">
        <v>253</v>
      </c>
      <c r="I401">
        <v>142</v>
      </c>
      <c r="J401" t="s">
        <v>551</v>
      </c>
      <c r="K401" t="s">
        <v>13</v>
      </c>
      <c r="L401" t="s">
        <v>13</v>
      </c>
    </row>
    <row r="402" spans="1:12" x14ac:dyDescent="0.5">
      <c r="A402" t="s">
        <v>771</v>
      </c>
      <c r="B402">
        <f>_xlfn.XLOOKUP(A402, 'sqft data'!A:A, 'sqft data'!C:C, "Not Found")</f>
        <v>750</v>
      </c>
      <c r="C402">
        <f>_xlfn.XLOOKUP(A402, 'bedroom data'!A:A, 'bedroom data'!B:B, "Not Found")</f>
        <v>1</v>
      </c>
      <c r="D402">
        <f>_xlfn.XLOOKUP(A402, 'bathroom data'!A:A, 'bathroom data'!B:B, "Not Found")</f>
        <v>1</v>
      </c>
      <c r="E402" t="str">
        <f>_xlfn.XLOOKUP(A402, 'bedroom data'!A:A, 'bedroom data'!C:C, "Not Found")</f>
        <v>Dupont /WestEnd</v>
      </c>
      <c r="F402" t="s">
        <v>607</v>
      </c>
      <c r="G402" t="s">
        <v>253</v>
      </c>
      <c r="H402" t="s">
        <v>232</v>
      </c>
      <c r="I402">
        <v>0</v>
      </c>
      <c r="J402" t="s">
        <v>136</v>
      </c>
      <c r="K402" t="s">
        <v>13</v>
      </c>
      <c r="L402" t="s">
        <v>13</v>
      </c>
    </row>
    <row r="403" spans="1:12" x14ac:dyDescent="0.5">
      <c r="A403" t="s">
        <v>772</v>
      </c>
      <c r="B403" t="str">
        <f>_xlfn.XLOOKUP(A403, 'sqft data'!A:A, 'sqft data'!C:C, "Not Found")</f>
        <v>Not Found</v>
      </c>
      <c r="C403">
        <f>_xlfn.XLOOKUP(A403, 'bedroom data'!A:A, 'bedroom data'!B:B, "Not Found")</f>
        <v>3</v>
      </c>
      <c r="D403">
        <f>_xlfn.XLOOKUP(A403, 'bathroom data'!A:A, 'bathroom data'!B:B, "Not Found")</f>
        <v>3</v>
      </c>
      <c r="E403" t="str">
        <f>_xlfn.XLOOKUP(A403, 'bedroom data'!A:A, 'bedroom data'!C:C, "Not Found")</f>
        <v>McLean/Tyson's Corner</v>
      </c>
      <c r="F403" t="s">
        <v>773</v>
      </c>
      <c r="G403" t="s">
        <v>21</v>
      </c>
      <c r="H403" t="s">
        <v>432</v>
      </c>
      <c r="I403">
        <v>0</v>
      </c>
      <c r="J403" t="s">
        <v>21</v>
      </c>
      <c r="K403" t="s">
        <v>13</v>
      </c>
      <c r="L403" t="s">
        <v>13</v>
      </c>
    </row>
    <row r="404" spans="1:12" x14ac:dyDescent="0.5">
      <c r="A404" t="s">
        <v>774</v>
      </c>
      <c r="B404" t="str">
        <f>_xlfn.XLOOKUP(A404, 'sqft data'!A:A, 'sqft data'!C:C, "Not Found")</f>
        <v>Not Found</v>
      </c>
      <c r="C404" t="str">
        <f>_xlfn.XLOOKUP(A404, 'bedroom data'!A:A, 'bedroom data'!B:B, "Not Found")</f>
        <v>Studio</v>
      </c>
      <c r="D404">
        <f>_xlfn.XLOOKUP(A404, 'bathroom data'!A:A, 'bathroom data'!B:B, "Not Found")</f>
        <v>1</v>
      </c>
      <c r="E404" t="str">
        <f>_xlfn.XLOOKUP(A404, 'bedroom data'!A:A, 'bedroom data'!C:C, "Not Found")</f>
        <v>U Street Corridor</v>
      </c>
      <c r="F404" t="s">
        <v>775</v>
      </c>
      <c r="G404" t="s">
        <v>492</v>
      </c>
      <c r="H404" t="s">
        <v>282</v>
      </c>
      <c r="I404">
        <v>99</v>
      </c>
      <c r="J404" t="s">
        <v>721</v>
      </c>
      <c r="K404" t="s">
        <v>13</v>
      </c>
      <c r="L404" t="s">
        <v>36</v>
      </c>
    </row>
    <row r="405" spans="1:12" x14ac:dyDescent="0.5">
      <c r="A405" t="s">
        <v>774</v>
      </c>
      <c r="B405" t="str">
        <f>_xlfn.XLOOKUP(A405, 'sqft data'!A:A, 'sqft data'!C:C, "Not Found")</f>
        <v>Not Found</v>
      </c>
      <c r="C405" t="str">
        <f>_xlfn.XLOOKUP(A405, 'bedroom data'!A:A, 'bedroom data'!B:B, "Not Found")</f>
        <v>Studio</v>
      </c>
      <c r="D405">
        <f>_xlfn.XLOOKUP(A405, 'bathroom data'!A:A, 'bathroom data'!B:B, "Not Found")</f>
        <v>1</v>
      </c>
      <c r="E405" t="str">
        <f>_xlfn.XLOOKUP(A405, 'bedroom data'!A:A, 'bedroom data'!C:C, "Not Found")</f>
        <v>U Street Corridor</v>
      </c>
      <c r="F405" t="s">
        <v>775</v>
      </c>
      <c r="G405" t="s">
        <v>776</v>
      </c>
      <c r="H405" t="s">
        <v>99</v>
      </c>
      <c r="I405">
        <v>98</v>
      </c>
      <c r="J405" t="s">
        <v>776</v>
      </c>
      <c r="K405" t="s">
        <v>13</v>
      </c>
      <c r="L405" t="s">
        <v>36</v>
      </c>
    </row>
    <row r="406" spans="1:12" x14ac:dyDescent="0.5">
      <c r="A406" t="s">
        <v>774</v>
      </c>
      <c r="B406" t="str">
        <f>_xlfn.XLOOKUP(A406, 'sqft data'!A:A, 'sqft data'!C:C, "Not Found")</f>
        <v>Not Found</v>
      </c>
      <c r="C406" t="str">
        <f>_xlfn.XLOOKUP(A406, 'bedroom data'!A:A, 'bedroom data'!B:B, "Not Found")</f>
        <v>Studio</v>
      </c>
      <c r="D406">
        <f>_xlfn.XLOOKUP(A406, 'bathroom data'!A:A, 'bathroom data'!B:B, "Not Found")</f>
        <v>1</v>
      </c>
      <c r="E406" t="str">
        <f>_xlfn.XLOOKUP(A406, 'bedroom data'!A:A, 'bedroom data'!C:C, "Not Found")</f>
        <v>U Street Corridor</v>
      </c>
      <c r="F406" t="s">
        <v>775</v>
      </c>
      <c r="G406" t="s">
        <v>282</v>
      </c>
      <c r="H406" t="s">
        <v>284</v>
      </c>
      <c r="I406">
        <v>104</v>
      </c>
      <c r="J406" t="s">
        <v>245</v>
      </c>
      <c r="K406" t="s">
        <v>13</v>
      </c>
      <c r="L406" t="s">
        <v>13</v>
      </c>
    </row>
    <row r="407" spans="1:12" x14ac:dyDescent="0.5">
      <c r="A407" t="s">
        <v>774</v>
      </c>
      <c r="B407" t="str">
        <f>_xlfn.XLOOKUP(A407, 'sqft data'!A:A, 'sqft data'!C:C, "Not Found")</f>
        <v>Not Found</v>
      </c>
      <c r="C407" t="str">
        <f>_xlfn.XLOOKUP(A407, 'bedroom data'!A:A, 'bedroom data'!B:B, "Not Found")</f>
        <v>Studio</v>
      </c>
      <c r="D407">
        <f>_xlfn.XLOOKUP(A407, 'bathroom data'!A:A, 'bathroom data'!B:B, "Not Found")</f>
        <v>1</v>
      </c>
      <c r="E407" t="str">
        <f>_xlfn.XLOOKUP(A407, 'bedroom data'!A:A, 'bedroom data'!C:C, "Not Found")</f>
        <v>U Street Corridor</v>
      </c>
      <c r="F407" t="s">
        <v>775</v>
      </c>
      <c r="G407" t="s">
        <v>210</v>
      </c>
      <c r="H407" t="s">
        <v>777</v>
      </c>
      <c r="I407">
        <v>98</v>
      </c>
      <c r="J407" t="s">
        <v>170</v>
      </c>
      <c r="K407" t="s">
        <v>13</v>
      </c>
      <c r="L407" t="s">
        <v>13</v>
      </c>
    </row>
    <row r="408" spans="1:12" x14ac:dyDescent="0.5">
      <c r="A408" t="s">
        <v>774</v>
      </c>
      <c r="B408" t="str">
        <f>_xlfn.XLOOKUP(A408, 'sqft data'!A:A, 'sqft data'!C:C, "Not Found")</f>
        <v>Not Found</v>
      </c>
      <c r="C408" t="str">
        <f>_xlfn.XLOOKUP(A408, 'bedroom data'!A:A, 'bedroom data'!B:B, "Not Found")</f>
        <v>Studio</v>
      </c>
      <c r="D408">
        <f>_xlfn.XLOOKUP(A408, 'bathroom data'!A:A, 'bathroom data'!B:B, "Not Found")</f>
        <v>1</v>
      </c>
      <c r="E408" t="str">
        <f>_xlfn.XLOOKUP(A408, 'bedroom data'!A:A, 'bedroom data'!C:C, "Not Found")</f>
        <v>U Street Corridor</v>
      </c>
      <c r="F408" t="s">
        <v>775</v>
      </c>
      <c r="G408" t="s">
        <v>137</v>
      </c>
      <c r="H408" t="s">
        <v>778</v>
      </c>
      <c r="I408">
        <v>98</v>
      </c>
      <c r="J408" t="s">
        <v>672</v>
      </c>
      <c r="K408" t="s">
        <v>13</v>
      </c>
      <c r="L408" t="s">
        <v>13</v>
      </c>
    </row>
    <row r="409" spans="1:12" x14ac:dyDescent="0.5">
      <c r="A409" t="s">
        <v>774</v>
      </c>
      <c r="B409" t="str">
        <f>_xlfn.XLOOKUP(A409, 'sqft data'!A:A, 'sqft data'!C:C, "Not Found")</f>
        <v>Not Found</v>
      </c>
      <c r="C409" t="str">
        <f>_xlfn.XLOOKUP(A409, 'bedroom data'!A:A, 'bedroom data'!B:B, "Not Found")</f>
        <v>Studio</v>
      </c>
      <c r="D409">
        <f>_xlfn.XLOOKUP(A409, 'bathroom data'!A:A, 'bathroom data'!B:B, "Not Found")</f>
        <v>1</v>
      </c>
      <c r="E409" t="str">
        <f>_xlfn.XLOOKUP(A409, 'bedroom data'!A:A, 'bedroom data'!C:C, "Not Found")</f>
        <v>U Street Corridor</v>
      </c>
      <c r="F409" t="s">
        <v>775</v>
      </c>
      <c r="G409" t="s">
        <v>673</v>
      </c>
      <c r="H409" t="s">
        <v>196</v>
      </c>
      <c r="I409">
        <v>0</v>
      </c>
      <c r="J409" t="s">
        <v>673</v>
      </c>
      <c r="K409" t="s">
        <v>13</v>
      </c>
      <c r="L409" t="s">
        <v>13</v>
      </c>
    </row>
    <row r="410" spans="1:12" x14ac:dyDescent="0.5">
      <c r="A410" t="s">
        <v>779</v>
      </c>
      <c r="B410">
        <f>_xlfn.XLOOKUP(A410, 'sqft data'!A:A, 'sqft data'!C:C, "Not Found")</f>
        <v>900</v>
      </c>
      <c r="C410">
        <f>_xlfn.XLOOKUP(A410, 'bedroom data'!A:A, 'bedroom data'!B:B, "Not Found")</f>
        <v>2</v>
      </c>
      <c r="D410">
        <f>_xlfn.XLOOKUP(A410, 'bathroom data'!A:A, 'bathroom data'!B:B, "Not Found")</f>
        <v>2</v>
      </c>
      <c r="E410" t="str">
        <f>_xlfn.XLOOKUP(A410, 'bedroom data'!A:A, 'bedroom data'!C:C, "Not Found")</f>
        <v>Adams Morgan</v>
      </c>
      <c r="F410" t="s">
        <v>780</v>
      </c>
      <c r="G410" t="s">
        <v>110</v>
      </c>
      <c r="H410" t="s">
        <v>99</v>
      </c>
      <c r="I410">
        <v>152</v>
      </c>
      <c r="J410" t="s">
        <v>721</v>
      </c>
      <c r="K410" t="s">
        <v>13</v>
      </c>
      <c r="L410" t="s">
        <v>13</v>
      </c>
    </row>
    <row r="411" spans="1:12" x14ac:dyDescent="0.5">
      <c r="A411" t="s">
        <v>779</v>
      </c>
      <c r="B411">
        <f>_xlfn.XLOOKUP(A411, 'sqft data'!A:A, 'sqft data'!C:C, "Not Found")</f>
        <v>900</v>
      </c>
      <c r="C411">
        <f>_xlfn.XLOOKUP(A411, 'bedroom data'!A:A, 'bedroom data'!B:B, "Not Found")</f>
        <v>2</v>
      </c>
      <c r="D411">
        <f>_xlfn.XLOOKUP(A411, 'bathroom data'!A:A, 'bathroom data'!B:B, "Not Found")</f>
        <v>2</v>
      </c>
      <c r="E411" t="str">
        <f>_xlfn.XLOOKUP(A411, 'bedroom data'!A:A, 'bedroom data'!C:C, "Not Found")</f>
        <v>Adams Morgan</v>
      </c>
      <c r="F411" t="s">
        <v>780</v>
      </c>
      <c r="G411" t="s">
        <v>272</v>
      </c>
      <c r="H411" t="s">
        <v>781</v>
      </c>
      <c r="I411">
        <v>127</v>
      </c>
      <c r="J411" t="s">
        <v>547</v>
      </c>
      <c r="K411" t="s">
        <v>13</v>
      </c>
      <c r="L411" t="s">
        <v>13</v>
      </c>
    </row>
    <row r="412" spans="1:12" x14ac:dyDescent="0.5">
      <c r="A412" t="s">
        <v>782</v>
      </c>
      <c r="B412">
        <f>_xlfn.XLOOKUP(A412, 'sqft data'!A:A, 'sqft data'!C:C, "Not Found")</f>
        <v>700</v>
      </c>
      <c r="C412">
        <f>_xlfn.XLOOKUP(A412, 'bedroom data'!A:A, 'bedroom data'!B:B, "Not Found")</f>
        <v>1</v>
      </c>
      <c r="D412">
        <f>_xlfn.XLOOKUP(A412, 'bathroom data'!A:A, 'bathroom data'!B:B, "Not Found")</f>
        <v>1</v>
      </c>
      <c r="E412" t="str">
        <f>_xlfn.XLOOKUP(A412, 'bedroom data'!A:A, 'bedroom data'!C:C, "Not Found")</f>
        <v>Dupont Circle</v>
      </c>
      <c r="F412" t="s">
        <v>783</v>
      </c>
      <c r="G412" t="s">
        <v>784</v>
      </c>
      <c r="H412" t="s">
        <v>785</v>
      </c>
      <c r="I412">
        <v>130</v>
      </c>
      <c r="J412" t="s">
        <v>786</v>
      </c>
      <c r="K412" t="s">
        <v>13</v>
      </c>
      <c r="L412" t="s">
        <v>13</v>
      </c>
    </row>
    <row r="413" spans="1:12" x14ac:dyDescent="0.5">
      <c r="A413" t="s">
        <v>782</v>
      </c>
      <c r="B413">
        <f>_xlfn.XLOOKUP(A413, 'sqft data'!A:A, 'sqft data'!C:C, "Not Found")</f>
        <v>700</v>
      </c>
      <c r="C413">
        <f>_xlfn.XLOOKUP(A413, 'bedroom data'!A:A, 'bedroom data'!B:B, "Not Found")</f>
        <v>1</v>
      </c>
      <c r="D413">
        <f>_xlfn.XLOOKUP(A413, 'bathroom data'!A:A, 'bathroom data'!B:B, "Not Found")</f>
        <v>1</v>
      </c>
      <c r="E413" t="str">
        <f>_xlfn.XLOOKUP(A413, 'bedroom data'!A:A, 'bedroom data'!C:C, "Not Found")</f>
        <v>Dupont Circle</v>
      </c>
      <c r="F413" t="s">
        <v>783</v>
      </c>
      <c r="G413" t="s">
        <v>194</v>
      </c>
      <c r="H413" t="s">
        <v>554</v>
      </c>
      <c r="I413">
        <v>130</v>
      </c>
      <c r="J413" t="s">
        <v>379</v>
      </c>
      <c r="K413" t="s">
        <v>13</v>
      </c>
      <c r="L413" t="s">
        <v>13</v>
      </c>
    </row>
    <row r="414" spans="1:12" x14ac:dyDescent="0.5">
      <c r="A414" t="s">
        <v>782</v>
      </c>
      <c r="B414">
        <f>_xlfn.XLOOKUP(A414, 'sqft data'!A:A, 'sqft data'!C:C, "Not Found")</f>
        <v>700</v>
      </c>
      <c r="C414">
        <f>_xlfn.XLOOKUP(A414, 'bedroom data'!A:A, 'bedroom data'!B:B, "Not Found")</f>
        <v>1</v>
      </c>
      <c r="D414">
        <f>_xlfn.XLOOKUP(A414, 'bathroom data'!A:A, 'bathroom data'!B:B, "Not Found")</f>
        <v>1</v>
      </c>
      <c r="E414" t="str">
        <f>_xlfn.XLOOKUP(A414, 'bedroom data'!A:A, 'bedroom data'!C:C, "Not Found")</f>
        <v>Dupont Circle</v>
      </c>
      <c r="F414" t="s">
        <v>783</v>
      </c>
      <c r="G414" t="s">
        <v>584</v>
      </c>
      <c r="H414" t="s">
        <v>787</v>
      </c>
      <c r="I414">
        <v>115</v>
      </c>
      <c r="J414" t="s">
        <v>195</v>
      </c>
      <c r="K414" t="s">
        <v>13</v>
      </c>
      <c r="L414" t="s">
        <v>13</v>
      </c>
    </row>
    <row r="415" spans="1:12" x14ac:dyDescent="0.5">
      <c r="A415" t="s">
        <v>788</v>
      </c>
      <c r="B415" t="str">
        <f>_xlfn.XLOOKUP(A415, 'sqft data'!A:A, 'sqft data'!C:C, "Not Found")</f>
        <v>Not Found</v>
      </c>
      <c r="C415">
        <f>_xlfn.XLOOKUP(A415, 'bedroom data'!A:A, 'bedroom data'!B:B, "Not Found")</f>
        <v>2</v>
      </c>
      <c r="D415">
        <f>_xlfn.XLOOKUP(A415, 'bathroom data'!A:A, 'bathroom data'!B:B, "Not Found")</f>
        <v>1</v>
      </c>
      <c r="E415" t="str">
        <f>_xlfn.XLOOKUP(A415, 'bedroom data'!A:A, 'bedroom data'!C:C, "Not Found")</f>
        <v>Logan Circle</v>
      </c>
      <c r="F415" t="s">
        <v>730</v>
      </c>
      <c r="G415" t="s">
        <v>227</v>
      </c>
      <c r="H415" t="s">
        <v>286</v>
      </c>
      <c r="I415">
        <v>0</v>
      </c>
      <c r="J415" t="s">
        <v>378</v>
      </c>
      <c r="K415" t="s">
        <v>13</v>
      </c>
      <c r="L415" t="s">
        <v>13</v>
      </c>
    </row>
    <row r="416" spans="1:12" x14ac:dyDescent="0.5">
      <c r="A416" t="s">
        <v>788</v>
      </c>
      <c r="B416" t="str">
        <f>_xlfn.XLOOKUP(A416, 'sqft data'!A:A, 'sqft data'!C:C, "Not Found")</f>
        <v>Not Found</v>
      </c>
      <c r="C416">
        <f>_xlfn.XLOOKUP(A416, 'bedroom data'!A:A, 'bedroom data'!B:B, "Not Found")</f>
        <v>2</v>
      </c>
      <c r="D416">
        <f>_xlfn.XLOOKUP(A416, 'bathroom data'!A:A, 'bathroom data'!B:B, "Not Found")</f>
        <v>1</v>
      </c>
      <c r="E416" t="str">
        <f>_xlfn.XLOOKUP(A416, 'bedroom data'!A:A, 'bedroom data'!C:C, "Not Found")</f>
        <v>Logan Circle</v>
      </c>
      <c r="F416" t="s">
        <v>730</v>
      </c>
      <c r="G416" t="s">
        <v>292</v>
      </c>
      <c r="H416" t="s">
        <v>504</v>
      </c>
      <c r="I416">
        <v>0</v>
      </c>
      <c r="J416" t="s">
        <v>381</v>
      </c>
      <c r="K416" t="s">
        <v>13</v>
      </c>
      <c r="L416" t="s">
        <v>13</v>
      </c>
    </row>
    <row r="417" spans="1:12" x14ac:dyDescent="0.5">
      <c r="A417" t="s">
        <v>789</v>
      </c>
      <c r="B417" t="str">
        <f>_xlfn.XLOOKUP(A417, 'sqft data'!A:A, 'sqft data'!C:C, "Not Found")</f>
        <v>Not Found</v>
      </c>
      <c r="C417">
        <f>_xlfn.XLOOKUP(A417, 'bedroom data'!A:A, 'bedroom data'!B:B, "Not Found")</f>
        <v>2</v>
      </c>
      <c r="D417">
        <f>_xlfn.XLOOKUP(A417, 'bathroom data'!A:A, 'bathroom data'!B:B, "Not Found")</f>
        <v>1</v>
      </c>
      <c r="E417" t="str">
        <f>_xlfn.XLOOKUP(A417, 'bedroom data'!A:A, 'bedroom data'!C:C, "Not Found")</f>
        <v>Logan Circle</v>
      </c>
      <c r="F417" t="s">
        <v>730</v>
      </c>
      <c r="G417" t="s">
        <v>790</v>
      </c>
      <c r="H417" t="s">
        <v>73</v>
      </c>
      <c r="I417">
        <v>0</v>
      </c>
      <c r="J417" t="s">
        <v>732</v>
      </c>
      <c r="K417" t="s">
        <v>13</v>
      </c>
      <c r="L417" t="s">
        <v>13</v>
      </c>
    </row>
    <row r="418" spans="1:12" x14ac:dyDescent="0.5">
      <c r="A418" t="s">
        <v>791</v>
      </c>
      <c r="B418" t="str">
        <f>_xlfn.XLOOKUP(A418, 'sqft data'!A:A, 'sqft data'!C:C, "Not Found")</f>
        <v>Not Found</v>
      </c>
      <c r="C418">
        <f>_xlfn.XLOOKUP(A418, 'bedroom data'!A:A, 'bedroom data'!B:B, "Not Found")</f>
        <v>2</v>
      </c>
      <c r="D418">
        <f>_xlfn.XLOOKUP(A418, 'bathroom data'!A:A, 'bathroom data'!B:B, "Not Found")</f>
        <v>1</v>
      </c>
      <c r="E418" t="str">
        <f>_xlfn.XLOOKUP(A418, 'bedroom data'!A:A, 'bedroom data'!C:C, "Not Found")</f>
        <v>Logan Circle</v>
      </c>
      <c r="F418" t="s">
        <v>730</v>
      </c>
      <c r="G418" t="s">
        <v>191</v>
      </c>
      <c r="H418" t="s">
        <v>227</v>
      </c>
      <c r="I418">
        <v>0</v>
      </c>
      <c r="J418" t="s">
        <v>306</v>
      </c>
      <c r="K418" t="s">
        <v>13</v>
      </c>
      <c r="L418" t="s">
        <v>13</v>
      </c>
    </row>
    <row r="419" spans="1:12" x14ac:dyDescent="0.5">
      <c r="A419" t="s">
        <v>792</v>
      </c>
      <c r="B419" t="str">
        <f>_xlfn.XLOOKUP(A419, 'sqft data'!A:A, 'sqft data'!C:C, "Not Found")</f>
        <v>Not Found</v>
      </c>
      <c r="C419">
        <f>_xlfn.XLOOKUP(A419, 'bedroom data'!A:A, 'bedroom data'!B:B, "Not Found")</f>
        <v>2</v>
      </c>
      <c r="D419">
        <f>_xlfn.XLOOKUP(A419, 'bathroom data'!A:A, 'bathroom data'!B:B, "Not Found")</f>
        <v>1</v>
      </c>
      <c r="E419" t="str">
        <f>_xlfn.XLOOKUP(A419, 'bedroom data'!A:A, 'bedroom data'!C:C, "Not Found")</f>
        <v>Logan Circle</v>
      </c>
      <c r="F419" t="s">
        <v>730</v>
      </c>
      <c r="G419" t="s">
        <v>99</v>
      </c>
      <c r="H419" t="s">
        <v>288</v>
      </c>
      <c r="I419">
        <v>0</v>
      </c>
      <c r="J419" t="s">
        <v>793</v>
      </c>
      <c r="K419" t="s">
        <v>13</v>
      </c>
      <c r="L419" t="s">
        <v>13</v>
      </c>
    </row>
    <row r="420" spans="1:12" x14ac:dyDescent="0.5">
      <c r="A420" t="s">
        <v>792</v>
      </c>
      <c r="B420" t="str">
        <f>_xlfn.XLOOKUP(A420, 'sqft data'!A:A, 'sqft data'!C:C, "Not Found")</f>
        <v>Not Found</v>
      </c>
      <c r="C420">
        <f>_xlfn.XLOOKUP(A420, 'bedroom data'!A:A, 'bedroom data'!B:B, "Not Found")</f>
        <v>2</v>
      </c>
      <c r="D420">
        <f>_xlfn.XLOOKUP(A420, 'bathroom data'!A:A, 'bathroom data'!B:B, "Not Found")</f>
        <v>1</v>
      </c>
      <c r="E420" t="str">
        <f>_xlfn.XLOOKUP(A420, 'bedroom data'!A:A, 'bedroom data'!C:C, "Not Found")</f>
        <v>Logan Circle</v>
      </c>
      <c r="F420" t="s">
        <v>730</v>
      </c>
      <c r="G420" t="s">
        <v>401</v>
      </c>
      <c r="H420" t="s">
        <v>739</v>
      </c>
      <c r="I420">
        <v>0</v>
      </c>
      <c r="J420" t="s">
        <v>305</v>
      </c>
      <c r="K420" t="s">
        <v>13</v>
      </c>
      <c r="L420" t="s">
        <v>13</v>
      </c>
    </row>
    <row r="421" spans="1:12" x14ac:dyDescent="0.5">
      <c r="A421" t="s">
        <v>792</v>
      </c>
      <c r="B421" t="str">
        <f>_xlfn.XLOOKUP(A421, 'sqft data'!A:A, 'sqft data'!C:C, "Not Found")</f>
        <v>Not Found</v>
      </c>
      <c r="C421">
        <f>_xlfn.XLOOKUP(A421, 'bedroom data'!A:A, 'bedroom data'!B:B, "Not Found")</f>
        <v>2</v>
      </c>
      <c r="D421">
        <f>_xlfn.XLOOKUP(A421, 'bathroom data'!A:A, 'bathroom data'!B:B, "Not Found")</f>
        <v>1</v>
      </c>
      <c r="E421" t="str">
        <f>_xlfn.XLOOKUP(A421, 'bedroom data'!A:A, 'bedroom data'!C:C, "Not Found")</f>
        <v>Logan Circle</v>
      </c>
      <c r="F421" t="s">
        <v>730</v>
      </c>
      <c r="G421" t="s">
        <v>426</v>
      </c>
      <c r="H421" t="s">
        <v>597</v>
      </c>
      <c r="I421">
        <v>0</v>
      </c>
      <c r="J421" t="s">
        <v>496</v>
      </c>
      <c r="K421" t="s">
        <v>13</v>
      </c>
      <c r="L421" t="s">
        <v>13</v>
      </c>
    </row>
    <row r="422" spans="1:12" x14ac:dyDescent="0.5">
      <c r="A422" t="s">
        <v>792</v>
      </c>
      <c r="B422" t="str">
        <f>_xlfn.XLOOKUP(A422, 'sqft data'!A:A, 'sqft data'!C:C, "Not Found")</f>
        <v>Not Found</v>
      </c>
      <c r="C422">
        <f>_xlfn.XLOOKUP(A422, 'bedroom data'!A:A, 'bedroom data'!B:B, "Not Found")</f>
        <v>2</v>
      </c>
      <c r="D422">
        <f>_xlfn.XLOOKUP(A422, 'bathroom data'!A:A, 'bathroom data'!B:B, "Not Found")</f>
        <v>1</v>
      </c>
      <c r="E422" t="str">
        <f>_xlfn.XLOOKUP(A422, 'bedroom data'!A:A, 'bedroom data'!C:C, "Not Found")</f>
        <v>Logan Circle</v>
      </c>
      <c r="F422" t="s">
        <v>730</v>
      </c>
      <c r="G422" t="s">
        <v>116</v>
      </c>
      <c r="H422" t="s">
        <v>45</v>
      </c>
      <c r="I422">
        <v>0</v>
      </c>
      <c r="J422" t="s">
        <v>496</v>
      </c>
      <c r="K422" t="s">
        <v>13</v>
      </c>
      <c r="L422" t="s">
        <v>13</v>
      </c>
    </row>
    <row r="423" spans="1:12" x14ac:dyDescent="0.5">
      <c r="A423" t="s">
        <v>794</v>
      </c>
      <c r="B423">
        <f>_xlfn.XLOOKUP(A423, 'sqft data'!A:A, 'sqft data'!C:C, "Not Found")</f>
        <v>650</v>
      </c>
      <c r="C423">
        <f>_xlfn.XLOOKUP(A423, 'bedroom data'!A:A, 'bedroom data'!B:B, "Not Found")</f>
        <v>1</v>
      </c>
      <c r="D423">
        <f>_xlfn.XLOOKUP(A423, 'bathroom data'!A:A, 'bathroom data'!B:B, "Not Found")</f>
        <v>1</v>
      </c>
      <c r="E423" t="str">
        <f>_xlfn.XLOOKUP(A423, 'bedroom data'!A:A, 'bedroom data'!C:C, "Not Found")</f>
        <v>Adams Morgan</v>
      </c>
      <c r="F423" t="s">
        <v>795</v>
      </c>
      <c r="G423" t="s">
        <v>796</v>
      </c>
      <c r="H423" t="s">
        <v>403</v>
      </c>
      <c r="I423">
        <v>92</v>
      </c>
      <c r="J423" t="s">
        <v>797</v>
      </c>
      <c r="K423" t="s">
        <v>13</v>
      </c>
      <c r="L423" t="s">
        <v>13</v>
      </c>
    </row>
    <row r="424" spans="1:12" x14ac:dyDescent="0.5">
      <c r="A424" t="s">
        <v>794</v>
      </c>
      <c r="B424">
        <f>_xlfn.XLOOKUP(A424, 'sqft data'!A:A, 'sqft data'!C:C, "Not Found")</f>
        <v>650</v>
      </c>
      <c r="C424">
        <f>_xlfn.XLOOKUP(A424, 'bedroom data'!A:A, 'bedroom data'!B:B, "Not Found")</f>
        <v>1</v>
      </c>
      <c r="D424">
        <f>_xlfn.XLOOKUP(A424, 'bathroom data'!A:A, 'bathroom data'!B:B, "Not Found")</f>
        <v>1</v>
      </c>
      <c r="E424" t="str">
        <f>_xlfn.XLOOKUP(A424, 'bedroom data'!A:A, 'bedroom data'!C:C, "Not Found")</f>
        <v>Adams Morgan</v>
      </c>
      <c r="F424" t="s">
        <v>795</v>
      </c>
      <c r="G424" t="s">
        <v>478</v>
      </c>
      <c r="H424" t="s">
        <v>233</v>
      </c>
      <c r="I424">
        <v>79</v>
      </c>
      <c r="J424" t="s">
        <v>106</v>
      </c>
      <c r="K424" t="s">
        <v>13</v>
      </c>
      <c r="L424" t="s">
        <v>13</v>
      </c>
    </row>
    <row r="425" spans="1:12" x14ac:dyDescent="0.5">
      <c r="A425" t="s">
        <v>798</v>
      </c>
      <c r="B425">
        <f>_xlfn.XLOOKUP(A425, 'sqft data'!A:A, 'sqft data'!C:C, "Not Found")</f>
        <v>318</v>
      </c>
      <c r="C425" t="str">
        <f>_xlfn.XLOOKUP(A425, 'bedroom data'!A:A, 'bedroom data'!B:B, "Not Found")</f>
        <v>Studio</v>
      </c>
      <c r="D425">
        <f>_xlfn.XLOOKUP(A425, 'bathroom data'!A:A, 'bathroom data'!B:B, "Not Found")</f>
        <v>1</v>
      </c>
      <c r="E425" t="str">
        <f>_xlfn.XLOOKUP(A425, 'bedroom data'!A:A, 'bedroom data'!C:C, "Not Found")</f>
        <v>Dupont Circle</v>
      </c>
      <c r="F425" t="s">
        <v>507</v>
      </c>
      <c r="G425" t="s">
        <v>283</v>
      </c>
      <c r="H425" t="s">
        <v>103</v>
      </c>
      <c r="I425">
        <v>88</v>
      </c>
      <c r="J425" t="s">
        <v>462</v>
      </c>
      <c r="K425" t="s">
        <v>13</v>
      </c>
      <c r="L425" t="s">
        <v>13</v>
      </c>
    </row>
    <row r="426" spans="1:12" x14ac:dyDescent="0.5">
      <c r="A426" t="s">
        <v>798</v>
      </c>
      <c r="B426">
        <f>_xlfn.XLOOKUP(A426, 'sqft data'!A:A, 'sqft data'!C:C, "Not Found")</f>
        <v>318</v>
      </c>
      <c r="C426" t="str">
        <f>_xlfn.XLOOKUP(A426, 'bedroom data'!A:A, 'bedroom data'!B:B, "Not Found")</f>
        <v>Studio</v>
      </c>
      <c r="D426">
        <f>_xlfn.XLOOKUP(A426, 'bathroom data'!A:A, 'bathroom data'!B:B, "Not Found")</f>
        <v>1</v>
      </c>
      <c r="E426" t="str">
        <f>_xlfn.XLOOKUP(A426, 'bedroom data'!A:A, 'bedroom data'!C:C, "Not Found")</f>
        <v>Dupont Circle</v>
      </c>
      <c r="F426" t="s">
        <v>507</v>
      </c>
      <c r="G426" t="s">
        <v>133</v>
      </c>
      <c r="H426" t="s">
        <v>504</v>
      </c>
      <c r="I426">
        <v>96</v>
      </c>
      <c r="J426" t="s">
        <v>410</v>
      </c>
      <c r="K426" t="s">
        <v>13</v>
      </c>
      <c r="L426" t="s">
        <v>13</v>
      </c>
    </row>
    <row r="427" spans="1:12" x14ac:dyDescent="0.5">
      <c r="A427" t="s">
        <v>798</v>
      </c>
      <c r="B427">
        <f>_xlfn.XLOOKUP(A427, 'sqft data'!A:A, 'sqft data'!C:C, "Not Found")</f>
        <v>318</v>
      </c>
      <c r="C427" t="str">
        <f>_xlfn.XLOOKUP(A427, 'bedroom data'!A:A, 'bedroom data'!B:B, "Not Found")</f>
        <v>Studio</v>
      </c>
      <c r="D427">
        <f>_xlfn.XLOOKUP(A427, 'bathroom data'!A:A, 'bathroom data'!B:B, "Not Found")</f>
        <v>1</v>
      </c>
      <c r="E427" t="str">
        <f>_xlfn.XLOOKUP(A427, 'bedroom data'!A:A, 'bedroom data'!C:C, "Not Found")</f>
        <v>Dupont Circle</v>
      </c>
      <c r="F427" t="s">
        <v>507</v>
      </c>
      <c r="G427" t="s">
        <v>40</v>
      </c>
      <c r="H427" t="s">
        <v>196</v>
      </c>
      <c r="I427">
        <v>88</v>
      </c>
      <c r="J427" t="s">
        <v>170</v>
      </c>
      <c r="K427" t="s">
        <v>13</v>
      </c>
      <c r="L427" t="s">
        <v>13</v>
      </c>
    </row>
    <row r="428" spans="1:12" x14ac:dyDescent="0.5">
      <c r="A428" t="s">
        <v>798</v>
      </c>
      <c r="B428">
        <f>_xlfn.XLOOKUP(A428, 'sqft data'!A:A, 'sqft data'!C:C, "Not Found")</f>
        <v>318</v>
      </c>
      <c r="C428" t="str">
        <f>_xlfn.XLOOKUP(A428, 'bedroom data'!A:A, 'bedroom data'!B:B, "Not Found")</f>
        <v>Studio</v>
      </c>
      <c r="D428">
        <f>_xlfn.XLOOKUP(A428, 'bathroom data'!A:A, 'bathroom data'!B:B, "Not Found")</f>
        <v>1</v>
      </c>
      <c r="E428" t="str">
        <f>_xlfn.XLOOKUP(A428, 'bedroom data'!A:A, 'bedroom data'!C:C, "Not Found")</f>
        <v>Dupont Circle</v>
      </c>
      <c r="F428" t="s">
        <v>507</v>
      </c>
      <c r="G428" t="s">
        <v>448</v>
      </c>
      <c r="H428" t="s">
        <v>549</v>
      </c>
      <c r="I428">
        <v>80</v>
      </c>
      <c r="J428" t="s">
        <v>540</v>
      </c>
      <c r="K428" t="s">
        <v>13</v>
      </c>
      <c r="L428" t="s">
        <v>13</v>
      </c>
    </row>
    <row r="429" spans="1:12" x14ac:dyDescent="0.5">
      <c r="A429" t="s">
        <v>799</v>
      </c>
      <c r="B429">
        <f>_xlfn.XLOOKUP(A429, 'sqft data'!A:A, 'sqft data'!C:C, "Not Found")</f>
        <v>500</v>
      </c>
      <c r="C429">
        <f>_xlfn.XLOOKUP(A429, 'bedroom data'!A:A, 'bedroom data'!B:B, "Not Found")</f>
        <v>1</v>
      </c>
      <c r="D429">
        <f>_xlfn.XLOOKUP(A429, 'bathroom data'!A:A, 'bathroom data'!B:B, "Not Found")</f>
        <v>1</v>
      </c>
      <c r="E429" t="str">
        <f>_xlfn.XLOOKUP(A429, 'bedroom data'!A:A, 'bedroom data'!C:C, "Not Found")</f>
        <v>Dupont Circle</v>
      </c>
      <c r="F429" t="s">
        <v>53</v>
      </c>
      <c r="G429" t="s">
        <v>800</v>
      </c>
      <c r="H429" t="s">
        <v>40</v>
      </c>
      <c r="I429">
        <v>119</v>
      </c>
      <c r="J429" t="s">
        <v>801</v>
      </c>
      <c r="K429" t="s">
        <v>13</v>
      </c>
      <c r="L429" t="s">
        <v>13</v>
      </c>
    </row>
    <row r="430" spans="1:12" x14ac:dyDescent="0.5">
      <c r="A430" t="s">
        <v>799</v>
      </c>
      <c r="B430">
        <f>_xlfn.XLOOKUP(A430, 'sqft data'!A:A, 'sqft data'!C:C, "Not Found")</f>
        <v>500</v>
      </c>
      <c r="C430">
        <f>_xlfn.XLOOKUP(A430, 'bedroom data'!A:A, 'bedroom data'!B:B, "Not Found")</f>
        <v>1</v>
      </c>
      <c r="D430">
        <f>_xlfn.XLOOKUP(A430, 'bathroom data'!A:A, 'bathroom data'!B:B, "Not Found")</f>
        <v>1</v>
      </c>
      <c r="E430" t="str">
        <f>_xlfn.XLOOKUP(A430, 'bedroom data'!A:A, 'bedroom data'!C:C, "Not Found")</f>
        <v>Dupont Circle</v>
      </c>
      <c r="F430" t="s">
        <v>53</v>
      </c>
      <c r="G430" t="s">
        <v>116</v>
      </c>
      <c r="H430" t="s">
        <v>425</v>
      </c>
      <c r="I430">
        <v>103</v>
      </c>
      <c r="J430" t="s">
        <v>537</v>
      </c>
      <c r="K430" t="s">
        <v>13</v>
      </c>
      <c r="L430" t="s">
        <v>13</v>
      </c>
    </row>
    <row r="431" spans="1:12" x14ac:dyDescent="0.5">
      <c r="A431" t="s">
        <v>799</v>
      </c>
      <c r="B431">
        <f>_xlfn.XLOOKUP(A431, 'sqft data'!A:A, 'sqft data'!C:C, "Not Found")</f>
        <v>500</v>
      </c>
      <c r="C431">
        <f>_xlfn.XLOOKUP(A431, 'bedroom data'!A:A, 'bedroom data'!B:B, "Not Found")</f>
        <v>1</v>
      </c>
      <c r="D431">
        <f>_xlfn.XLOOKUP(A431, 'bathroom data'!A:A, 'bathroom data'!B:B, "Not Found")</f>
        <v>1</v>
      </c>
      <c r="E431" t="str">
        <f>_xlfn.XLOOKUP(A431, 'bedroom data'!A:A, 'bedroom data'!C:C, "Not Found")</f>
        <v>Dupont Circle</v>
      </c>
      <c r="F431" t="s">
        <v>53</v>
      </c>
      <c r="G431" t="s">
        <v>155</v>
      </c>
      <c r="H431" t="s">
        <v>129</v>
      </c>
      <c r="I431">
        <v>98</v>
      </c>
      <c r="J431" t="s">
        <v>802</v>
      </c>
      <c r="K431" t="s">
        <v>13</v>
      </c>
      <c r="L431" t="s">
        <v>13</v>
      </c>
    </row>
    <row r="432" spans="1:12" x14ac:dyDescent="0.5">
      <c r="A432" t="s">
        <v>799</v>
      </c>
      <c r="B432">
        <f>_xlfn.XLOOKUP(A432, 'sqft data'!A:A, 'sqft data'!C:C, "Not Found")</f>
        <v>500</v>
      </c>
      <c r="C432">
        <f>_xlfn.XLOOKUP(A432, 'bedroom data'!A:A, 'bedroom data'!B:B, "Not Found")</f>
        <v>1</v>
      </c>
      <c r="D432">
        <f>_xlfn.XLOOKUP(A432, 'bathroom data'!A:A, 'bathroom data'!B:B, "Not Found")</f>
        <v>1</v>
      </c>
      <c r="E432" t="str">
        <f>_xlfn.XLOOKUP(A432, 'bedroom data'!A:A, 'bedroom data'!C:C, "Not Found")</f>
        <v>Dupont Circle</v>
      </c>
      <c r="F432" t="s">
        <v>53</v>
      </c>
      <c r="G432" t="s">
        <v>747</v>
      </c>
      <c r="H432" t="s">
        <v>803</v>
      </c>
      <c r="I432">
        <v>107</v>
      </c>
      <c r="J432" t="s">
        <v>448</v>
      </c>
      <c r="K432" t="s">
        <v>13</v>
      </c>
      <c r="L432" t="s">
        <v>13</v>
      </c>
    </row>
    <row r="433" spans="1:12" x14ac:dyDescent="0.5">
      <c r="A433" t="s">
        <v>804</v>
      </c>
      <c r="B433">
        <f>_xlfn.XLOOKUP(A433, 'sqft data'!A:A, 'sqft data'!C:C, "Not Found")</f>
        <v>327</v>
      </c>
      <c r="C433" t="str">
        <f>_xlfn.XLOOKUP(A433, 'bedroom data'!A:A, 'bedroom data'!B:B, "Not Found")</f>
        <v>Studio</v>
      </c>
      <c r="D433">
        <f>_xlfn.XLOOKUP(A433, 'bathroom data'!A:A, 'bathroom data'!B:B, "Not Found")</f>
        <v>1</v>
      </c>
      <c r="E433" t="str">
        <f>_xlfn.XLOOKUP(A433, 'bedroom data'!A:A, 'bedroom data'!C:C, "Not Found")</f>
        <v>Dupont Circle</v>
      </c>
      <c r="F433" t="s">
        <v>805</v>
      </c>
      <c r="G433" t="s">
        <v>400</v>
      </c>
      <c r="H433" t="s">
        <v>160</v>
      </c>
      <c r="I433">
        <v>104.57</v>
      </c>
      <c r="J433" t="s">
        <v>400</v>
      </c>
      <c r="K433" t="s">
        <v>13</v>
      </c>
      <c r="L433" t="s">
        <v>13</v>
      </c>
    </row>
    <row r="434" spans="1:12" x14ac:dyDescent="0.5">
      <c r="A434" t="s">
        <v>804</v>
      </c>
      <c r="B434">
        <f>_xlfn.XLOOKUP(A434, 'sqft data'!A:A, 'sqft data'!C:C, "Not Found")</f>
        <v>327</v>
      </c>
      <c r="C434" t="str">
        <f>_xlfn.XLOOKUP(A434, 'bedroom data'!A:A, 'bedroom data'!B:B, "Not Found")</f>
        <v>Studio</v>
      </c>
      <c r="D434">
        <f>_xlfn.XLOOKUP(A434, 'bathroom data'!A:A, 'bathroom data'!B:B, "Not Found")</f>
        <v>1</v>
      </c>
      <c r="E434" t="str">
        <f>_xlfn.XLOOKUP(A434, 'bedroom data'!A:A, 'bedroom data'!C:C, "Not Found")</f>
        <v>Dupont Circle</v>
      </c>
      <c r="F434" t="s">
        <v>805</v>
      </c>
      <c r="G434" t="s">
        <v>712</v>
      </c>
      <c r="H434" t="s">
        <v>541</v>
      </c>
      <c r="I434">
        <v>60</v>
      </c>
      <c r="J434" t="s">
        <v>254</v>
      </c>
      <c r="K434" t="s">
        <v>13</v>
      </c>
      <c r="L434" t="s">
        <v>13</v>
      </c>
    </row>
    <row r="435" spans="1:12" x14ac:dyDescent="0.5">
      <c r="A435" t="s">
        <v>804</v>
      </c>
      <c r="B435">
        <f>_xlfn.XLOOKUP(A435, 'sqft data'!A:A, 'sqft data'!C:C, "Not Found")</f>
        <v>327</v>
      </c>
      <c r="C435" t="str">
        <f>_xlfn.XLOOKUP(A435, 'bedroom data'!A:A, 'bedroom data'!B:B, "Not Found")</f>
        <v>Studio</v>
      </c>
      <c r="D435">
        <f>_xlfn.XLOOKUP(A435, 'bathroom data'!A:A, 'bathroom data'!B:B, "Not Found")</f>
        <v>1</v>
      </c>
      <c r="E435" t="str">
        <f>_xlfn.XLOOKUP(A435, 'bedroom data'!A:A, 'bedroom data'!C:C, "Not Found")</f>
        <v>Dupont Circle</v>
      </c>
      <c r="F435" t="s">
        <v>805</v>
      </c>
      <c r="G435" t="s">
        <v>105</v>
      </c>
      <c r="H435" t="s">
        <v>220</v>
      </c>
      <c r="I435">
        <v>105</v>
      </c>
      <c r="J435" t="s">
        <v>806</v>
      </c>
      <c r="K435" t="s">
        <v>13</v>
      </c>
      <c r="L435" t="s">
        <v>13</v>
      </c>
    </row>
    <row r="436" spans="1:12" x14ac:dyDescent="0.5">
      <c r="A436" t="s">
        <v>807</v>
      </c>
      <c r="B436">
        <f>_xlfn.XLOOKUP(A436, 'sqft data'!A:A, 'sqft data'!C:C, "Not Found")</f>
        <v>450</v>
      </c>
      <c r="C436">
        <f>_xlfn.XLOOKUP(A436, 'bedroom data'!A:A, 'bedroom data'!B:B, "Not Found")</f>
        <v>1</v>
      </c>
      <c r="D436">
        <f>_xlfn.XLOOKUP(A436, 'bathroom data'!A:A, 'bathroom data'!B:B, "Not Found")</f>
        <v>1</v>
      </c>
      <c r="E436" t="str">
        <f>_xlfn.XLOOKUP(A436, 'bedroom data'!A:A, 'bedroom data'!C:C, "Not Found")</f>
        <v>Dupont Circle</v>
      </c>
      <c r="F436" t="s">
        <v>43</v>
      </c>
      <c r="G436" t="s">
        <v>283</v>
      </c>
      <c r="H436" t="s">
        <v>383</v>
      </c>
      <c r="I436">
        <v>105.63</v>
      </c>
      <c r="J436" t="s">
        <v>181</v>
      </c>
      <c r="K436" t="s">
        <v>13</v>
      </c>
      <c r="L436" t="s">
        <v>13</v>
      </c>
    </row>
    <row r="437" spans="1:12" x14ac:dyDescent="0.5">
      <c r="A437" t="s">
        <v>807</v>
      </c>
      <c r="B437">
        <f>_xlfn.XLOOKUP(A437, 'sqft data'!A:A, 'sqft data'!C:C, "Not Found")</f>
        <v>450</v>
      </c>
      <c r="C437">
        <f>_xlfn.XLOOKUP(A437, 'bedroom data'!A:A, 'bedroom data'!B:B, "Not Found")</f>
        <v>1</v>
      </c>
      <c r="D437">
        <f>_xlfn.XLOOKUP(A437, 'bathroom data'!A:A, 'bathroom data'!B:B, "Not Found")</f>
        <v>1</v>
      </c>
      <c r="E437" t="str">
        <f>_xlfn.XLOOKUP(A437, 'bedroom data'!A:A, 'bedroom data'!C:C, "Not Found")</f>
        <v>Dupont Circle</v>
      </c>
      <c r="F437" t="s">
        <v>43</v>
      </c>
      <c r="G437" t="s">
        <v>133</v>
      </c>
      <c r="H437" t="s">
        <v>284</v>
      </c>
      <c r="I437">
        <v>103</v>
      </c>
      <c r="J437" t="s">
        <v>264</v>
      </c>
      <c r="K437" t="s">
        <v>13</v>
      </c>
      <c r="L437" t="s">
        <v>13</v>
      </c>
    </row>
    <row r="438" spans="1:12" x14ac:dyDescent="0.5">
      <c r="A438" t="s">
        <v>807</v>
      </c>
      <c r="B438">
        <f>_xlfn.XLOOKUP(A438, 'sqft data'!A:A, 'sqft data'!C:C, "Not Found")</f>
        <v>450</v>
      </c>
      <c r="C438">
        <f>_xlfn.XLOOKUP(A438, 'bedroom data'!A:A, 'bedroom data'!B:B, "Not Found")</f>
        <v>1</v>
      </c>
      <c r="D438">
        <f>_xlfn.XLOOKUP(A438, 'bathroom data'!A:A, 'bathroom data'!B:B, "Not Found")</f>
        <v>1</v>
      </c>
      <c r="E438" t="str">
        <f>_xlfn.XLOOKUP(A438, 'bedroom data'!A:A, 'bedroom data'!C:C, "Not Found")</f>
        <v>Dupont Circle</v>
      </c>
      <c r="F438" t="s">
        <v>43</v>
      </c>
      <c r="G438" t="s">
        <v>25</v>
      </c>
      <c r="H438" t="s">
        <v>808</v>
      </c>
      <c r="I438">
        <v>103</v>
      </c>
      <c r="J438" t="s">
        <v>288</v>
      </c>
      <c r="K438" t="s">
        <v>13</v>
      </c>
      <c r="L438" t="s">
        <v>36</v>
      </c>
    </row>
    <row r="439" spans="1:12" x14ac:dyDescent="0.5">
      <c r="A439" t="s">
        <v>807</v>
      </c>
      <c r="B439">
        <f>_xlfn.XLOOKUP(A439, 'sqft data'!A:A, 'sqft data'!C:C, "Not Found")</f>
        <v>450</v>
      </c>
      <c r="C439">
        <f>_xlfn.XLOOKUP(A439, 'bedroom data'!A:A, 'bedroom data'!B:B, "Not Found")</f>
        <v>1</v>
      </c>
      <c r="D439">
        <f>_xlfn.XLOOKUP(A439, 'bathroom data'!A:A, 'bathroom data'!B:B, "Not Found")</f>
        <v>1</v>
      </c>
      <c r="E439" t="str">
        <f>_xlfn.XLOOKUP(A439, 'bedroom data'!A:A, 'bedroom data'!C:C, "Not Found")</f>
        <v>Dupont Circle</v>
      </c>
      <c r="F439" t="s">
        <v>43</v>
      </c>
      <c r="G439" t="s">
        <v>809</v>
      </c>
      <c r="H439" t="s">
        <v>647</v>
      </c>
      <c r="I439">
        <v>103</v>
      </c>
      <c r="J439" t="s">
        <v>810</v>
      </c>
      <c r="K439" t="s">
        <v>13</v>
      </c>
      <c r="L439" t="s">
        <v>13</v>
      </c>
    </row>
    <row r="440" spans="1:12" x14ac:dyDescent="0.5">
      <c r="A440" t="s">
        <v>807</v>
      </c>
      <c r="B440">
        <f>_xlfn.XLOOKUP(A440, 'sqft data'!A:A, 'sqft data'!C:C, "Not Found")</f>
        <v>450</v>
      </c>
      <c r="C440">
        <f>_xlfn.XLOOKUP(A440, 'bedroom data'!A:A, 'bedroom data'!B:B, "Not Found")</f>
        <v>1</v>
      </c>
      <c r="D440">
        <f>_xlfn.XLOOKUP(A440, 'bathroom data'!A:A, 'bathroom data'!B:B, "Not Found")</f>
        <v>1</v>
      </c>
      <c r="E440" t="str">
        <f>_xlfn.XLOOKUP(A440, 'bedroom data'!A:A, 'bedroom data'!C:C, "Not Found")</f>
        <v>Dupont Circle</v>
      </c>
      <c r="F440" t="s">
        <v>43</v>
      </c>
      <c r="G440" t="s">
        <v>128</v>
      </c>
      <c r="H440" t="s">
        <v>494</v>
      </c>
      <c r="I440">
        <v>89</v>
      </c>
      <c r="J440" t="s">
        <v>811</v>
      </c>
      <c r="K440" t="s">
        <v>13</v>
      </c>
      <c r="L440" t="s">
        <v>13</v>
      </c>
    </row>
    <row r="441" spans="1:12" x14ac:dyDescent="0.5">
      <c r="A441" t="s">
        <v>807</v>
      </c>
      <c r="B441">
        <f>_xlfn.XLOOKUP(A441, 'sqft data'!A:A, 'sqft data'!C:C, "Not Found")</f>
        <v>450</v>
      </c>
      <c r="C441">
        <f>_xlfn.XLOOKUP(A441, 'bedroom data'!A:A, 'bedroom data'!B:B, "Not Found")</f>
        <v>1</v>
      </c>
      <c r="D441">
        <f>_xlfn.XLOOKUP(A441, 'bathroom data'!A:A, 'bathroom data'!B:B, "Not Found")</f>
        <v>1</v>
      </c>
      <c r="E441" t="str">
        <f>_xlfn.XLOOKUP(A441, 'bedroom data'!A:A, 'bedroom data'!C:C, "Not Found")</f>
        <v>Dupont Circle</v>
      </c>
      <c r="F441" t="s">
        <v>43</v>
      </c>
      <c r="G441" t="s">
        <v>812</v>
      </c>
      <c r="H441" t="s">
        <v>479</v>
      </c>
      <c r="I441">
        <v>94</v>
      </c>
      <c r="J441" t="s">
        <v>547</v>
      </c>
      <c r="K441" t="s">
        <v>13</v>
      </c>
      <c r="L441" t="s">
        <v>13</v>
      </c>
    </row>
    <row r="442" spans="1:12" x14ac:dyDescent="0.5">
      <c r="A442" t="s">
        <v>813</v>
      </c>
      <c r="B442">
        <f>_xlfn.XLOOKUP(A442, 'sqft data'!A:A, 'sqft data'!C:C, "Not Found")</f>
        <v>600</v>
      </c>
      <c r="C442">
        <f>_xlfn.XLOOKUP(A442, 'bedroom data'!A:A, 'bedroom data'!B:B, "Not Found")</f>
        <v>1</v>
      </c>
      <c r="D442">
        <f>_xlfn.XLOOKUP(A442, 'bathroom data'!A:A, 'bathroom data'!B:B, "Not Found")</f>
        <v>1</v>
      </c>
      <c r="E442" t="str">
        <f>_xlfn.XLOOKUP(A442, 'bedroom data'!A:A, 'bedroom data'!C:C, "Not Found")</f>
        <v>Dupont Circle</v>
      </c>
      <c r="F442" t="s">
        <v>814</v>
      </c>
      <c r="G442" t="s">
        <v>800</v>
      </c>
      <c r="H442" t="s">
        <v>26</v>
      </c>
      <c r="I442">
        <v>111.73</v>
      </c>
      <c r="J442" t="s">
        <v>74</v>
      </c>
      <c r="K442" t="s">
        <v>13</v>
      </c>
      <c r="L442" t="s">
        <v>13</v>
      </c>
    </row>
    <row r="443" spans="1:12" x14ac:dyDescent="0.5">
      <c r="A443" t="s">
        <v>813</v>
      </c>
      <c r="B443">
        <f>_xlfn.XLOOKUP(A443, 'sqft data'!A:A, 'sqft data'!C:C, "Not Found")</f>
        <v>600</v>
      </c>
      <c r="C443">
        <f>_xlfn.XLOOKUP(A443, 'bedroom data'!A:A, 'bedroom data'!B:B, "Not Found")</f>
        <v>1</v>
      </c>
      <c r="D443">
        <f>_xlfn.XLOOKUP(A443, 'bathroom data'!A:A, 'bathroom data'!B:B, "Not Found")</f>
        <v>1</v>
      </c>
      <c r="E443" t="str">
        <f>_xlfn.XLOOKUP(A443, 'bedroom data'!A:A, 'bedroom data'!C:C, "Not Found")</f>
        <v>Dupont Circle</v>
      </c>
      <c r="F443" t="s">
        <v>814</v>
      </c>
      <c r="G443" t="s">
        <v>103</v>
      </c>
      <c r="H443" t="s">
        <v>103</v>
      </c>
      <c r="I443">
        <v>110</v>
      </c>
      <c r="J443" t="s">
        <v>169</v>
      </c>
      <c r="K443" t="s">
        <v>13</v>
      </c>
      <c r="L443" t="s">
        <v>13</v>
      </c>
    </row>
    <row r="444" spans="1:12" x14ac:dyDescent="0.5">
      <c r="A444" t="s">
        <v>813</v>
      </c>
      <c r="B444">
        <f>_xlfn.XLOOKUP(A444, 'sqft data'!A:A, 'sqft data'!C:C, "Not Found")</f>
        <v>600</v>
      </c>
      <c r="C444">
        <f>_xlfn.XLOOKUP(A444, 'bedroom data'!A:A, 'bedroom data'!B:B, "Not Found")</f>
        <v>1</v>
      </c>
      <c r="D444">
        <f>_xlfn.XLOOKUP(A444, 'bathroom data'!A:A, 'bathroom data'!B:B, "Not Found")</f>
        <v>1</v>
      </c>
      <c r="E444" t="str">
        <f>_xlfn.XLOOKUP(A444, 'bedroom data'!A:A, 'bedroom data'!C:C, "Not Found")</f>
        <v>Dupont Circle</v>
      </c>
      <c r="F444" t="s">
        <v>814</v>
      </c>
      <c r="G444" t="s">
        <v>381</v>
      </c>
      <c r="H444" t="s">
        <v>40</v>
      </c>
      <c r="I444">
        <v>110</v>
      </c>
      <c r="J444" t="s">
        <v>291</v>
      </c>
      <c r="K444" t="s">
        <v>13</v>
      </c>
      <c r="L444" t="s">
        <v>13</v>
      </c>
    </row>
    <row r="445" spans="1:12" x14ac:dyDescent="0.5">
      <c r="A445" t="s">
        <v>813</v>
      </c>
      <c r="B445">
        <f>_xlfn.XLOOKUP(A445, 'sqft data'!A:A, 'sqft data'!C:C, "Not Found")</f>
        <v>600</v>
      </c>
      <c r="C445">
        <f>_xlfn.XLOOKUP(A445, 'bedroom data'!A:A, 'bedroom data'!B:B, "Not Found")</f>
        <v>1</v>
      </c>
      <c r="D445">
        <f>_xlfn.XLOOKUP(A445, 'bathroom data'!A:A, 'bathroom data'!B:B, "Not Found")</f>
        <v>1</v>
      </c>
      <c r="E445" t="str">
        <f>_xlfn.XLOOKUP(A445, 'bedroom data'!A:A, 'bedroom data'!C:C, "Not Found")</f>
        <v>Dupont Circle</v>
      </c>
      <c r="F445" t="s">
        <v>814</v>
      </c>
      <c r="G445" t="s">
        <v>159</v>
      </c>
      <c r="H445" t="s">
        <v>28</v>
      </c>
      <c r="I445">
        <v>110</v>
      </c>
      <c r="J445" t="s">
        <v>227</v>
      </c>
      <c r="K445" t="s">
        <v>13</v>
      </c>
      <c r="L445" t="s">
        <v>13</v>
      </c>
    </row>
    <row r="446" spans="1:12" x14ac:dyDescent="0.5">
      <c r="A446" t="s">
        <v>813</v>
      </c>
      <c r="B446">
        <f>_xlfn.XLOOKUP(A446, 'sqft data'!A:A, 'sqft data'!C:C, "Not Found")</f>
        <v>600</v>
      </c>
      <c r="C446">
        <f>_xlfn.XLOOKUP(A446, 'bedroom data'!A:A, 'bedroom data'!B:B, "Not Found")</f>
        <v>1</v>
      </c>
      <c r="D446">
        <f>_xlfn.XLOOKUP(A446, 'bathroom data'!A:A, 'bathroom data'!B:B, "Not Found")</f>
        <v>1</v>
      </c>
      <c r="E446" t="str">
        <f>_xlfn.XLOOKUP(A446, 'bedroom data'!A:A, 'bedroom data'!C:C, "Not Found")</f>
        <v>Dupont Circle</v>
      </c>
      <c r="F446" t="s">
        <v>814</v>
      </c>
      <c r="G446" t="s">
        <v>467</v>
      </c>
      <c r="H446" t="s">
        <v>706</v>
      </c>
      <c r="I446">
        <v>108.67</v>
      </c>
      <c r="J446" t="s">
        <v>421</v>
      </c>
      <c r="K446" t="s">
        <v>13</v>
      </c>
      <c r="L446" t="s">
        <v>13</v>
      </c>
    </row>
    <row r="447" spans="1:12" x14ac:dyDescent="0.5">
      <c r="A447" t="s">
        <v>815</v>
      </c>
      <c r="B447">
        <f>_xlfn.XLOOKUP(A447, 'sqft data'!A:A, 'sqft data'!C:C, "Not Found")</f>
        <v>1100</v>
      </c>
      <c r="C447">
        <f>_xlfn.XLOOKUP(A447, 'bedroom data'!A:A, 'bedroom data'!B:B, "Not Found")</f>
        <v>2</v>
      </c>
      <c r="D447">
        <f>_xlfn.XLOOKUP(A447, 'bathroom data'!A:A, 'bathroom data'!B:B, "Not Found")</f>
        <v>2</v>
      </c>
      <c r="E447" t="str">
        <f>_xlfn.XLOOKUP(A447, 'bedroom data'!A:A, 'bedroom data'!C:C, "Not Found")</f>
        <v>Adams Morgan</v>
      </c>
      <c r="F447" t="s">
        <v>816</v>
      </c>
      <c r="G447" t="s">
        <v>599</v>
      </c>
      <c r="H447" t="s">
        <v>105</v>
      </c>
      <c r="I447">
        <v>184</v>
      </c>
      <c r="J447" t="s">
        <v>119</v>
      </c>
      <c r="K447" t="s">
        <v>13</v>
      </c>
      <c r="L447" t="s">
        <v>13</v>
      </c>
    </row>
    <row r="448" spans="1:12" x14ac:dyDescent="0.5">
      <c r="A448" t="s">
        <v>815</v>
      </c>
      <c r="B448">
        <f>_xlfn.XLOOKUP(A448, 'sqft data'!A:A, 'sqft data'!C:C, "Not Found")</f>
        <v>1100</v>
      </c>
      <c r="C448">
        <f>_xlfn.XLOOKUP(A448, 'bedroom data'!A:A, 'bedroom data'!B:B, "Not Found")</f>
        <v>2</v>
      </c>
      <c r="D448">
        <f>_xlfn.XLOOKUP(A448, 'bathroom data'!A:A, 'bathroom data'!B:B, "Not Found")</f>
        <v>2</v>
      </c>
      <c r="E448" t="str">
        <f>_xlfn.XLOOKUP(A448, 'bedroom data'!A:A, 'bedroom data'!C:C, "Not Found")</f>
        <v>Adams Morgan</v>
      </c>
      <c r="F448" t="s">
        <v>816</v>
      </c>
      <c r="G448" t="s">
        <v>107</v>
      </c>
      <c r="H448" t="s">
        <v>817</v>
      </c>
      <c r="I448">
        <v>184</v>
      </c>
      <c r="J448" t="s">
        <v>486</v>
      </c>
      <c r="K448" t="s">
        <v>13</v>
      </c>
      <c r="L448" t="s">
        <v>13</v>
      </c>
    </row>
    <row r="449" spans="1:12" x14ac:dyDescent="0.5">
      <c r="A449" t="s">
        <v>818</v>
      </c>
      <c r="B449">
        <f>_xlfn.XLOOKUP(A449, 'sqft data'!A:A, 'sqft data'!C:C, "Not Found")</f>
        <v>900</v>
      </c>
      <c r="C449">
        <f>_xlfn.XLOOKUP(A449, 'bedroom data'!A:A, 'bedroom data'!B:B, "Not Found")</f>
        <v>2</v>
      </c>
      <c r="D449">
        <f>_xlfn.XLOOKUP(A449, 'bathroom data'!A:A, 'bathroom data'!B:B, "Not Found")</f>
        <v>1</v>
      </c>
      <c r="E449" t="str">
        <f>_xlfn.XLOOKUP(A449, 'bedroom data'!A:A, 'bedroom data'!C:C, "Not Found")</f>
        <v>Dupont Circle</v>
      </c>
      <c r="F449" t="s">
        <v>819</v>
      </c>
      <c r="G449" t="s">
        <v>820</v>
      </c>
      <c r="H449" t="s">
        <v>44</v>
      </c>
      <c r="I449">
        <v>147.43</v>
      </c>
      <c r="J449" t="s">
        <v>820</v>
      </c>
      <c r="K449" t="s">
        <v>13</v>
      </c>
      <c r="L449" t="s">
        <v>13</v>
      </c>
    </row>
    <row r="450" spans="1:12" x14ac:dyDescent="0.5">
      <c r="A450" t="s">
        <v>818</v>
      </c>
      <c r="B450">
        <f>_xlfn.XLOOKUP(A450, 'sqft data'!A:A, 'sqft data'!C:C, "Not Found")</f>
        <v>900</v>
      </c>
      <c r="C450">
        <f>_xlfn.XLOOKUP(A450, 'bedroom data'!A:A, 'bedroom data'!B:B, "Not Found")</f>
        <v>2</v>
      </c>
      <c r="D450">
        <f>_xlfn.XLOOKUP(A450, 'bathroom data'!A:A, 'bathroom data'!B:B, "Not Found")</f>
        <v>1</v>
      </c>
      <c r="E450" t="str">
        <f>_xlfn.XLOOKUP(A450, 'bedroom data'!A:A, 'bedroom data'!C:C, "Not Found")</f>
        <v>Dupont Circle</v>
      </c>
      <c r="F450" t="s">
        <v>819</v>
      </c>
      <c r="G450" t="s">
        <v>301</v>
      </c>
      <c r="H450" t="s">
        <v>298</v>
      </c>
      <c r="I450">
        <v>128</v>
      </c>
      <c r="J450" t="s">
        <v>133</v>
      </c>
      <c r="K450" t="s">
        <v>13</v>
      </c>
      <c r="L450" t="s">
        <v>13</v>
      </c>
    </row>
    <row r="451" spans="1:12" x14ac:dyDescent="0.5">
      <c r="A451" t="s">
        <v>818</v>
      </c>
      <c r="B451">
        <f>_xlfn.XLOOKUP(A451, 'sqft data'!A:A, 'sqft data'!C:C, "Not Found")</f>
        <v>900</v>
      </c>
      <c r="C451">
        <f>_xlfn.XLOOKUP(A451, 'bedroom data'!A:A, 'bedroom data'!B:B, "Not Found")</f>
        <v>2</v>
      </c>
      <c r="D451">
        <f>_xlfn.XLOOKUP(A451, 'bathroom data'!A:A, 'bathroom data'!B:B, "Not Found")</f>
        <v>1</v>
      </c>
      <c r="E451" t="str">
        <f>_xlfn.XLOOKUP(A451, 'bedroom data'!A:A, 'bedroom data'!C:C, "Not Found")</f>
        <v>Dupont Circle</v>
      </c>
      <c r="F451" t="s">
        <v>819</v>
      </c>
      <c r="G451" t="s">
        <v>402</v>
      </c>
      <c r="H451" t="s">
        <v>711</v>
      </c>
      <c r="I451">
        <v>122</v>
      </c>
      <c r="J451" t="s">
        <v>227</v>
      </c>
      <c r="K451" t="s">
        <v>13</v>
      </c>
      <c r="L451" t="s">
        <v>13</v>
      </c>
    </row>
    <row r="452" spans="1:12" x14ac:dyDescent="0.5">
      <c r="A452" t="s">
        <v>818</v>
      </c>
      <c r="B452">
        <f>_xlfn.XLOOKUP(A452, 'sqft data'!A:A, 'sqft data'!C:C, "Not Found")</f>
        <v>900</v>
      </c>
      <c r="C452">
        <f>_xlfn.XLOOKUP(A452, 'bedroom data'!A:A, 'bedroom data'!B:B, "Not Found")</f>
        <v>2</v>
      </c>
      <c r="D452">
        <f>_xlfn.XLOOKUP(A452, 'bathroom data'!A:A, 'bathroom data'!B:B, "Not Found")</f>
        <v>1</v>
      </c>
      <c r="E452" t="str">
        <f>_xlfn.XLOOKUP(A452, 'bedroom data'!A:A, 'bedroom data'!C:C, "Not Found")</f>
        <v>Dupont Circle</v>
      </c>
      <c r="F452" t="s">
        <v>819</v>
      </c>
      <c r="G452" t="s">
        <v>821</v>
      </c>
      <c r="H452" t="s">
        <v>472</v>
      </c>
      <c r="I452">
        <v>109</v>
      </c>
      <c r="J452" t="s">
        <v>821</v>
      </c>
      <c r="K452" t="s">
        <v>13</v>
      </c>
      <c r="L452" t="s">
        <v>13</v>
      </c>
    </row>
    <row r="453" spans="1:12" x14ac:dyDescent="0.5">
      <c r="A453" t="s">
        <v>818</v>
      </c>
      <c r="B453">
        <f>_xlfn.XLOOKUP(A453, 'sqft data'!A:A, 'sqft data'!C:C, "Not Found")</f>
        <v>900</v>
      </c>
      <c r="C453">
        <f>_xlfn.XLOOKUP(A453, 'bedroom data'!A:A, 'bedroom data'!B:B, "Not Found")</f>
        <v>2</v>
      </c>
      <c r="D453">
        <f>_xlfn.XLOOKUP(A453, 'bathroom data'!A:A, 'bathroom data'!B:B, "Not Found")</f>
        <v>1</v>
      </c>
      <c r="E453" t="str">
        <f>_xlfn.XLOOKUP(A453, 'bedroom data'!A:A, 'bedroom data'!C:C, "Not Found")</f>
        <v>Dupont Circle</v>
      </c>
      <c r="F453" t="s">
        <v>819</v>
      </c>
      <c r="G453" t="s">
        <v>140</v>
      </c>
      <c r="H453" t="s">
        <v>175</v>
      </c>
      <c r="I453">
        <v>139</v>
      </c>
      <c r="J453" t="s">
        <v>197</v>
      </c>
      <c r="K453" t="s">
        <v>13</v>
      </c>
      <c r="L453" t="s">
        <v>13</v>
      </c>
    </row>
    <row r="454" spans="1:12" x14ac:dyDescent="0.5">
      <c r="A454" t="s">
        <v>822</v>
      </c>
      <c r="B454">
        <f>_xlfn.XLOOKUP(A454, 'sqft data'!A:A, 'sqft data'!C:C, "Not Found")</f>
        <v>900</v>
      </c>
      <c r="C454">
        <f>_xlfn.XLOOKUP(A454, 'bedroom data'!A:A, 'bedroom data'!B:B, "Not Found")</f>
        <v>2</v>
      </c>
      <c r="D454">
        <f>_xlfn.XLOOKUP(A454, 'bathroom data'!A:A, 'bathroom data'!B:B, "Not Found")</f>
        <v>1</v>
      </c>
      <c r="E454" t="str">
        <f>_xlfn.XLOOKUP(A454, 'bedroom data'!A:A, 'bedroom data'!C:C, "Not Found")</f>
        <v>Dupont Circle</v>
      </c>
      <c r="F454" t="s">
        <v>819</v>
      </c>
      <c r="G454" t="s">
        <v>776</v>
      </c>
      <c r="H454" t="s">
        <v>284</v>
      </c>
      <c r="I454">
        <v>140</v>
      </c>
      <c r="J454" t="s">
        <v>388</v>
      </c>
      <c r="K454" t="s">
        <v>13</v>
      </c>
      <c r="L454" t="s">
        <v>36</v>
      </c>
    </row>
    <row r="455" spans="1:12" x14ac:dyDescent="0.5">
      <c r="A455" t="s">
        <v>822</v>
      </c>
      <c r="B455">
        <f>_xlfn.XLOOKUP(A455, 'sqft data'!A:A, 'sqft data'!C:C, "Not Found")</f>
        <v>900</v>
      </c>
      <c r="C455">
        <f>_xlfn.XLOOKUP(A455, 'bedroom data'!A:A, 'bedroom data'!B:B, "Not Found")</f>
        <v>2</v>
      </c>
      <c r="D455">
        <f>_xlfn.XLOOKUP(A455, 'bathroom data'!A:A, 'bathroom data'!B:B, "Not Found")</f>
        <v>1</v>
      </c>
      <c r="E455" t="str">
        <f>_xlfn.XLOOKUP(A455, 'bedroom data'!A:A, 'bedroom data'!C:C, "Not Found")</f>
        <v>Dupont Circle</v>
      </c>
      <c r="F455" t="s">
        <v>819</v>
      </c>
      <c r="G455" t="s">
        <v>25</v>
      </c>
      <c r="H455" t="s">
        <v>808</v>
      </c>
      <c r="I455">
        <v>140</v>
      </c>
      <c r="J455" t="s">
        <v>210</v>
      </c>
      <c r="K455" t="s">
        <v>13</v>
      </c>
      <c r="L455" t="s">
        <v>13</v>
      </c>
    </row>
    <row r="456" spans="1:12" x14ac:dyDescent="0.5">
      <c r="A456" t="s">
        <v>822</v>
      </c>
      <c r="B456">
        <f>_xlfn.XLOOKUP(A456, 'sqft data'!A:A, 'sqft data'!C:C, "Not Found")</f>
        <v>900</v>
      </c>
      <c r="C456">
        <f>_xlfn.XLOOKUP(A456, 'bedroom data'!A:A, 'bedroom data'!B:B, "Not Found")</f>
        <v>2</v>
      </c>
      <c r="D456">
        <f>_xlfn.XLOOKUP(A456, 'bathroom data'!A:A, 'bathroom data'!B:B, "Not Found")</f>
        <v>1</v>
      </c>
      <c r="E456" t="str">
        <f>_xlfn.XLOOKUP(A456, 'bedroom data'!A:A, 'bedroom data'!C:C, "Not Found")</f>
        <v>Dupont Circle</v>
      </c>
      <c r="F456" t="s">
        <v>819</v>
      </c>
      <c r="G456" t="s">
        <v>432</v>
      </c>
      <c r="H456" t="s">
        <v>823</v>
      </c>
      <c r="I456">
        <v>136</v>
      </c>
      <c r="J456" t="s">
        <v>432</v>
      </c>
      <c r="K456" t="s">
        <v>13</v>
      </c>
      <c r="L456" t="s">
        <v>13</v>
      </c>
    </row>
    <row r="457" spans="1:12" x14ac:dyDescent="0.5">
      <c r="A457" t="s">
        <v>822</v>
      </c>
      <c r="B457">
        <f>_xlfn.XLOOKUP(A457, 'sqft data'!A:A, 'sqft data'!C:C, "Not Found")</f>
        <v>900</v>
      </c>
      <c r="C457">
        <f>_xlfn.XLOOKUP(A457, 'bedroom data'!A:A, 'bedroom data'!B:B, "Not Found")</f>
        <v>2</v>
      </c>
      <c r="D457">
        <f>_xlfn.XLOOKUP(A457, 'bathroom data'!A:A, 'bathroom data'!B:B, "Not Found")</f>
        <v>1</v>
      </c>
      <c r="E457" t="str">
        <f>_xlfn.XLOOKUP(A457, 'bedroom data'!A:A, 'bedroom data'!C:C, "Not Found")</f>
        <v>Dupont Circle</v>
      </c>
      <c r="F457" t="s">
        <v>819</v>
      </c>
      <c r="G457" t="s">
        <v>137</v>
      </c>
      <c r="H457" t="s">
        <v>106</v>
      </c>
      <c r="I457">
        <v>120</v>
      </c>
      <c r="J457" t="s">
        <v>810</v>
      </c>
      <c r="K457" t="s">
        <v>13</v>
      </c>
      <c r="L457" t="s">
        <v>13</v>
      </c>
    </row>
    <row r="458" spans="1:12" x14ac:dyDescent="0.5">
      <c r="A458" t="s">
        <v>822</v>
      </c>
      <c r="B458">
        <f>_xlfn.XLOOKUP(A458, 'sqft data'!A:A, 'sqft data'!C:C, "Not Found")</f>
        <v>900</v>
      </c>
      <c r="C458">
        <f>_xlfn.XLOOKUP(A458, 'bedroom data'!A:A, 'bedroom data'!B:B, "Not Found")</f>
        <v>2</v>
      </c>
      <c r="D458">
        <f>_xlfn.XLOOKUP(A458, 'bathroom data'!A:A, 'bathroom data'!B:B, "Not Found")</f>
        <v>1</v>
      </c>
      <c r="E458" t="str">
        <f>_xlfn.XLOOKUP(A458, 'bedroom data'!A:A, 'bedroom data'!C:C, "Not Found")</f>
        <v>Dupont Circle</v>
      </c>
      <c r="F458" t="s">
        <v>819</v>
      </c>
      <c r="G458" t="s">
        <v>650</v>
      </c>
      <c r="H458" t="s">
        <v>253</v>
      </c>
      <c r="I458">
        <v>136</v>
      </c>
      <c r="J458" t="s">
        <v>467</v>
      </c>
      <c r="K458" t="s">
        <v>13</v>
      </c>
      <c r="L458" t="s">
        <v>13</v>
      </c>
    </row>
    <row r="459" spans="1:12" x14ac:dyDescent="0.5">
      <c r="A459" t="s">
        <v>822</v>
      </c>
      <c r="B459">
        <f>_xlfn.XLOOKUP(A459, 'sqft data'!A:A, 'sqft data'!C:C, "Not Found")</f>
        <v>900</v>
      </c>
      <c r="C459">
        <f>_xlfn.XLOOKUP(A459, 'bedroom data'!A:A, 'bedroom data'!B:B, "Not Found")</f>
        <v>2</v>
      </c>
      <c r="D459">
        <f>_xlfn.XLOOKUP(A459, 'bathroom data'!A:A, 'bathroom data'!B:B, "Not Found")</f>
        <v>1</v>
      </c>
      <c r="E459" t="str">
        <f>_xlfn.XLOOKUP(A459, 'bedroom data'!A:A, 'bedroom data'!C:C, "Not Found")</f>
        <v>Dupont Circle</v>
      </c>
      <c r="F459" t="s">
        <v>819</v>
      </c>
      <c r="G459" t="s">
        <v>348</v>
      </c>
      <c r="H459" t="s">
        <v>94</v>
      </c>
      <c r="I459">
        <v>136</v>
      </c>
      <c r="J459" t="s">
        <v>121</v>
      </c>
      <c r="K459" t="s">
        <v>13</v>
      </c>
      <c r="L459" t="s">
        <v>13</v>
      </c>
    </row>
    <row r="460" spans="1:12" x14ac:dyDescent="0.5">
      <c r="A460" t="s">
        <v>824</v>
      </c>
      <c r="B460">
        <f>_xlfn.XLOOKUP(A460, 'sqft data'!A:A, 'sqft data'!C:C, "Not Found")</f>
        <v>875</v>
      </c>
      <c r="C460">
        <f>_xlfn.XLOOKUP(A460, 'bedroom data'!A:A, 'bedroom data'!B:B, "Not Found")</f>
        <v>2</v>
      </c>
      <c r="D460">
        <f>_xlfn.XLOOKUP(A460, 'bathroom data'!A:A, 'bathroom data'!B:B, "Not Found")</f>
        <v>1</v>
      </c>
      <c r="E460" t="str">
        <f>_xlfn.XLOOKUP(A460, 'bedroom data'!A:A, 'bedroom data'!C:C, "Not Found")</f>
        <v>Dupont Circle</v>
      </c>
      <c r="F460" t="s">
        <v>819</v>
      </c>
      <c r="G460" t="s">
        <v>339</v>
      </c>
      <c r="H460" t="s">
        <v>252</v>
      </c>
      <c r="I460">
        <v>137</v>
      </c>
      <c r="J460" t="s">
        <v>825</v>
      </c>
      <c r="K460" t="s">
        <v>13</v>
      </c>
      <c r="L460" t="s">
        <v>13</v>
      </c>
    </row>
    <row r="461" spans="1:12" x14ac:dyDescent="0.5">
      <c r="A461" t="s">
        <v>824</v>
      </c>
      <c r="B461">
        <f>_xlfn.XLOOKUP(A461, 'sqft data'!A:A, 'sqft data'!C:C, "Not Found")</f>
        <v>875</v>
      </c>
      <c r="C461">
        <f>_xlfn.XLOOKUP(A461, 'bedroom data'!A:A, 'bedroom data'!B:B, "Not Found")</f>
        <v>2</v>
      </c>
      <c r="D461">
        <f>_xlfn.XLOOKUP(A461, 'bathroom data'!A:A, 'bathroom data'!B:B, "Not Found")</f>
        <v>1</v>
      </c>
      <c r="E461" t="str">
        <f>_xlfn.XLOOKUP(A461, 'bedroom data'!A:A, 'bedroom data'!C:C, "Not Found")</f>
        <v>Dupont Circle</v>
      </c>
      <c r="F461" t="s">
        <v>819</v>
      </c>
      <c r="G461" t="s">
        <v>402</v>
      </c>
      <c r="H461" t="s">
        <v>647</v>
      </c>
      <c r="I461">
        <v>115</v>
      </c>
      <c r="J461" t="s">
        <v>288</v>
      </c>
      <c r="K461" t="s">
        <v>13</v>
      </c>
      <c r="L461" t="s">
        <v>13</v>
      </c>
    </row>
    <row r="462" spans="1:12" x14ac:dyDescent="0.5">
      <c r="A462" t="s">
        <v>824</v>
      </c>
      <c r="B462">
        <f>_xlfn.XLOOKUP(A462, 'sqft data'!A:A, 'sqft data'!C:C, "Not Found")</f>
        <v>875</v>
      </c>
      <c r="C462">
        <f>_xlfn.XLOOKUP(A462, 'bedroom data'!A:A, 'bedroom data'!B:B, "Not Found")</f>
        <v>2</v>
      </c>
      <c r="D462">
        <f>_xlfn.XLOOKUP(A462, 'bathroom data'!A:A, 'bathroom data'!B:B, "Not Found")</f>
        <v>1</v>
      </c>
      <c r="E462" t="str">
        <f>_xlfn.XLOOKUP(A462, 'bedroom data'!A:A, 'bedroom data'!C:C, "Not Found")</f>
        <v>Dupont Circle</v>
      </c>
      <c r="F462" t="s">
        <v>819</v>
      </c>
      <c r="G462" t="s">
        <v>425</v>
      </c>
      <c r="H462" t="s">
        <v>196</v>
      </c>
      <c r="I462">
        <v>130</v>
      </c>
      <c r="J462" t="s">
        <v>137</v>
      </c>
      <c r="K462" t="s">
        <v>13</v>
      </c>
      <c r="L462" t="s">
        <v>13</v>
      </c>
    </row>
    <row r="463" spans="1:12" x14ac:dyDescent="0.5">
      <c r="A463" t="s">
        <v>824</v>
      </c>
      <c r="B463">
        <f>_xlfn.XLOOKUP(A463, 'sqft data'!A:A, 'sqft data'!C:C, "Not Found")</f>
        <v>875</v>
      </c>
      <c r="C463">
        <f>_xlfn.XLOOKUP(A463, 'bedroom data'!A:A, 'bedroom data'!B:B, "Not Found")</f>
        <v>2</v>
      </c>
      <c r="D463">
        <f>_xlfn.XLOOKUP(A463, 'bathroom data'!A:A, 'bathroom data'!B:B, "Not Found")</f>
        <v>1</v>
      </c>
      <c r="E463" t="str">
        <f>_xlfn.XLOOKUP(A463, 'bedroom data'!A:A, 'bedroom data'!C:C, "Not Found")</f>
        <v>Dupont Circle</v>
      </c>
      <c r="F463" t="s">
        <v>819</v>
      </c>
      <c r="G463" t="s">
        <v>747</v>
      </c>
      <c r="H463" t="s">
        <v>221</v>
      </c>
      <c r="I463">
        <v>137</v>
      </c>
      <c r="J463" t="s">
        <v>747</v>
      </c>
      <c r="K463" t="s">
        <v>13</v>
      </c>
      <c r="L463" t="s">
        <v>13</v>
      </c>
    </row>
    <row r="464" spans="1:12" x14ac:dyDescent="0.5">
      <c r="A464" t="s">
        <v>824</v>
      </c>
      <c r="B464">
        <f>_xlfn.XLOOKUP(A464, 'sqft data'!A:A, 'sqft data'!C:C, "Not Found")</f>
        <v>875</v>
      </c>
      <c r="C464">
        <f>_xlfn.XLOOKUP(A464, 'bedroom data'!A:A, 'bedroom data'!B:B, "Not Found")</f>
        <v>2</v>
      </c>
      <c r="D464">
        <f>_xlfn.XLOOKUP(A464, 'bathroom data'!A:A, 'bathroom data'!B:B, "Not Found")</f>
        <v>1</v>
      </c>
      <c r="E464" t="str">
        <f>_xlfn.XLOOKUP(A464, 'bedroom data'!A:A, 'bedroom data'!C:C, "Not Found")</f>
        <v>Dupont Circle</v>
      </c>
      <c r="F464" t="s">
        <v>819</v>
      </c>
      <c r="G464" t="s">
        <v>121</v>
      </c>
      <c r="H464" t="s">
        <v>175</v>
      </c>
      <c r="I464">
        <v>140</v>
      </c>
      <c r="J464" t="s">
        <v>535</v>
      </c>
      <c r="K464" t="s">
        <v>13</v>
      </c>
      <c r="L464" t="s">
        <v>13</v>
      </c>
    </row>
    <row r="465" spans="1:12" x14ac:dyDescent="0.5">
      <c r="A465" t="s">
        <v>826</v>
      </c>
      <c r="B465">
        <f>_xlfn.XLOOKUP(A465, 'sqft data'!A:A, 'sqft data'!C:C, "Not Found")</f>
        <v>600</v>
      </c>
      <c r="C465">
        <f>_xlfn.XLOOKUP(A465, 'bedroom data'!A:A, 'bedroom data'!B:B, "Not Found")</f>
        <v>1</v>
      </c>
      <c r="D465">
        <f>_xlfn.XLOOKUP(A465, 'bathroom data'!A:A, 'bathroom data'!B:B, "Not Found")</f>
        <v>1</v>
      </c>
      <c r="E465" t="str">
        <f>_xlfn.XLOOKUP(A465, 'bedroom data'!A:A, 'bedroom data'!C:C, "Not Found")</f>
        <v>Dupont Circle</v>
      </c>
      <c r="F465" t="s">
        <v>819</v>
      </c>
      <c r="G465" t="s">
        <v>191</v>
      </c>
      <c r="H465" t="s">
        <v>293</v>
      </c>
      <c r="I465">
        <v>135</v>
      </c>
      <c r="J465" t="s">
        <v>827</v>
      </c>
      <c r="K465" t="s">
        <v>13</v>
      </c>
      <c r="L465" t="s">
        <v>13</v>
      </c>
    </row>
    <row r="466" spans="1:12" x14ac:dyDescent="0.5">
      <c r="A466" t="s">
        <v>826</v>
      </c>
      <c r="B466">
        <f>_xlfn.XLOOKUP(A466, 'sqft data'!A:A, 'sqft data'!C:C, "Not Found")</f>
        <v>600</v>
      </c>
      <c r="C466">
        <f>_xlfn.XLOOKUP(A466, 'bedroom data'!A:A, 'bedroom data'!B:B, "Not Found")</f>
        <v>1</v>
      </c>
      <c r="D466">
        <f>_xlfn.XLOOKUP(A466, 'bathroom data'!A:A, 'bathroom data'!B:B, "Not Found")</f>
        <v>1</v>
      </c>
      <c r="E466" t="str">
        <f>_xlfn.XLOOKUP(A466, 'bedroom data'!A:A, 'bedroom data'!C:C, "Not Found")</f>
        <v>Dupont Circle</v>
      </c>
      <c r="F466" t="s">
        <v>819</v>
      </c>
      <c r="G466" t="s">
        <v>828</v>
      </c>
      <c r="H466" t="s">
        <v>829</v>
      </c>
      <c r="I466">
        <v>135</v>
      </c>
      <c r="J466" t="s">
        <v>227</v>
      </c>
      <c r="K466" t="s">
        <v>13</v>
      </c>
      <c r="L466" t="s">
        <v>13</v>
      </c>
    </row>
    <row r="467" spans="1:12" x14ac:dyDescent="0.5">
      <c r="A467" t="s">
        <v>826</v>
      </c>
      <c r="B467">
        <f>_xlfn.XLOOKUP(A467, 'sqft data'!A:A, 'sqft data'!C:C, "Not Found")</f>
        <v>600</v>
      </c>
      <c r="C467">
        <f>_xlfn.XLOOKUP(A467, 'bedroom data'!A:A, 'bedroom data'!B:B, "Not Found")</f>
        <v>1</v>
      </c>
      <c r="D467">
        <f>_xlfn.XLOOKUP(A467, 'bathroom data'!A:A, 'bathroom data'!B:B, "Not Found")</f>
        <v>1</v>
      </c>
      <c r="E467" t="str">
        <f>_xlfn.XLOOKUP(A467, 'bedroom data'!A:A, 'bedroom data'!C:C, "Not Found")</f>
        <v>Dupont Circle</v>
      </c>
      <c r="F467" t="s">
        <v>819</v>
      </c>
      <c r="G467" t="s">
        <v>647</v>
      </c>
      <c r="H467" t="s">
        <v>830</v>
      </c>
      <c r="I467">
        <v>120</v>
      </c>
      <c r="J467" t="s">
        <v>137</v>
      </c>
      <c r="K467" t="s">
        <v>13</v>
      </c>
      <c r="L467" t="s">
        <v>13</v>
      </c>
    </row>
    <row r="468" spans="1:12" x14ac:dyDescent="0.5">
      <c r="A468" t="s">
        <v>831</v>
      </c>
      <c r="B468">
        <f>_xlfn.XLOOKUP(A468, 'sqft data'!A:A, 'sqft data'!C:C, "Not Found")</f>
        <v>839</v>
      </c>
      <c r="C468">
        <f>_xlfn.XLOOKUP(A468, 'bedroom data'!A:A, 'bedroom data'!B:B, "Not Found")</f>
        <v>2</v>
      </c>
      <c r="D468">
        <f>_xlfn.XLOOKUP(A468, 'bathroom data'!A:A, 'bathroom data'!B:B, "Not Found")</f>
        <v>2</v>
      </c>
      <c r="E468" t="str">
        <f>_xlfn.XLOOKUP(A468, 'bedroom data'!A:A, 'bedroom data'!C:C, "Not Found")</f>
        <v>Dupont Circle</v>
      </c>
      <c r="F468" t="s">
        <v>274</v>
      </c>
      <c r="G468" t="s">
        <v>646</v>
      </c>
      <c r="H468" t="s">
        <v>711</v>
      </c>
      <c r="I468">
        <v>180</v>
      </c>
      <c r="J468" t="s">
        <v>369</v>
      </c>
      <c r="K468" t="s">
        <v>13</v>
      </c>
      <c r="L468" t="s">
        <v>13</v>
      </c>
    </row>
    <row r="469" spans="1:12" x14ac:dyDescent="0.5">
      <c r="A469" t="s">
        <v>831</v>
      </c>
      <c r="B469">
        <f>_xlfn.XLOOKUP(A469, 'sqft data'!A:A, 'sqft data'!C:C, "Not Found")</f>
        <v>839</v>
      </c>
      <c r="C469">
        <f>_xlfn.XLOOKUP(A469, 'bedroom data'!A:A, 'bedroom data'!B:B, "Not Found")</f>
        <v>2</v>
      </c>
      <c r="D469">
        <f>_xlfn.XLOOKUP(A469, 'bathroom data'!A:A, 'bathroom data'!B:B, "Not Found")</f>
        <v>2</v>
      </c>
      <c r="E469" t="str">
        <f>_xlfn.XLOOKUP(A469, 'bedroom data'!A:A, 'bedroom data'!C:C, "Not Found")</f>
        <v>Dupont Circle</v>
      </c>
      <c r="F469" t="s">
        <v>274</v>
      </c>
      <c r="G469" t="s">
        <v>711</v>
      </c>
      <c r="H469" t="s">
        <v>144</v>
      </c>
      <c r="I469">
        <v>185</v>
      </c>
      <c r="J469" t="s">
        <v>428</v>
      </c>
      <c r="K469" t="s">
        <v>13</v>
      </c>
      <c r="L469" t="s">
        <v>13</v>
      </c>
    </row>
    <row r="470" spans="1:12" x14ac:dyDescent="0.5">
      <c r="A470" t="s">
        <v>832</v>
      </c>
      <c r="B470" t="str">
        <f>_xlfn.XLOOKUP(A470, 'sqft data'!A:A, 'sqft data'!C:C, "Not Found")</f>
        <v>Not Found</v>
      </c>
      <c r="C470">
        <f>_xlfn.XLOOKUP(A470, 'bedroom data'!A:A, 'bedroom data'!B:B, "Not Found")</f>
        <v>1</v>
      </c>
      <c r="D470">
        <f>_xlfn.XLOOKUP(A470, 'bathroom data'!A:A, 'bathroom data'!B:B, "Not Found")</f>
        <v>1</v>
      </c>
      <c r="E470" t="str">
        <f>_xlfn.XLOOKUP(A470, 'bedroom data'!A:A, 'bedroom data'!C:C, "Not Found")</f>
        <v>Dupont Circle</v>
      </c>
      <c r="F470" t="s">
        <v>833</v>
      </c>
      <c r="G470" t="s">
        <v>321</v>
      </c>
      <c r="H470" t="s">
        <v>44</v>
      </c>
      <c r="I470">
        <v>90</v>
      </c>
      <c r="J470" t="s">
        <v>732</v>
      </c>
      <c r="K470" t="s">
        <v>13</v>
      </c>
      <c r="L470" t="s">
        <v>13</v>
      </c>
    </row>
    <row r="471" spans="1:12" x14ac:dyDescent="0.5">
      <c r="A471" t="s">
        <v>834</v>
      </c>
      <c r="B471" t="str">
        <f>_xlfn.XLOOKUP(A471, 'sqft data'!A:A, 'sqft data'!C:C, "Not Found")</f>
        <v>Not Found</v>
      </c>
      <c r="C471" t="str">
        <f>_xlfn.XLOOKUP(A471, 'bedroom data'!A:A, 'bedroom data'!B:B, "Not Found")</f>
        <v>Studio</v>
      </c>
      <c r="D471">
        <f>_xlfn.XLOOKUP(A471, 'bathroom data'!A:A, 'bathroom data'!B:B, "Not Found")</f>
        <v>1</v>
      </c>
      <c r="E471" t="str">
        <f>_xlfn.XLOOKUP(A471, 'bedroom data'!A:A, 'bedroom data'!C:C, "Not Found")</f>
        <v>Dupont Circle</v>
      </c>
      <c r="F471" t="s">
        <v>43</v>
      </c>
      <c r="G471" t="s">
        <v>835</v>
      </c>
      <c r="H471" t="s">
        <v>135</v>
      </c>
      <c r="I471">
        <v>54.33</v>
      </c>
      <c r="J471" t="s">
        <v>836</v>
      </c>
      <c r="K471" t="s">
        <v>36</v>
      </c>
      <c r="L471" t="s">
        <v>13</v>
      </c>
    </row>
    <row r="472" spans="1:12" x14ac:dyDescent="0.5">
      <c r="A472" t="s">
        <v>834</v>
      </c>
      <c r="B472" t="str">
        <f>_xlfn.XLOOKUP(A472, 'sqft data'!A:A, 'sqft data'!C:C, "Not Found")</f>
        <v>Not Found</v>
      </c>
      <c r="C472" t="str">
        <f>_xlfn.XLOOKUP(A472, 'bedroom data'!A:A, 'bedroom data'!B:B, "Not Found")</f>
        <v>Studio</v>
      </c>
      <c r="D472">
        <f>_xlfn.XLOOKUP(A472, 'bathroom data'!A:A, 'bathroom data'!B:B, "Not Found")</f>
        <v>1</v>
      </c>
      <c r="E472" t="str">
        <f>_xlfn.XLOOKUP(A472, 'bedroom data'!A:A, 'bedroom data'!C:C, "Not Found")</f>
        <v>Dupont Circle</v>
      </c>
      <c r="F472" t="s">
        <v>43</v>
      </c>
      <c r="G472" t="s">
        <v>532</v>
      </c>
      <c r="H472" t="s">
        <v>532</v>
      </c>
      <c r="I472">
        <v>60</v>
      </c>
      <c r="J472" t="s">
        <v>577</v>
      </c>
      <c r="K472" t="s">
        <v>13</v>
      </c>
      <c r="L472" t="s">
        <v>13</v>
      </c>
    </row>
    <row r="473" spans="1:12" x14ac:dyDescent="0.5">
      <c r="A473" t="s">
        <v>834</v>
      </c>
      <c r="B473" t="str">
        <f>_xlfn.XLOOKUP(A473, 'sqft data'!A:A, 'sqft data'!C:C, "Not Found")</f>
        <v>Not Found</v>
      </c>
      <c r="C473" t="str">
        <f>_xlfn.XLOOKUP(A473, 'bedroom data'!A:A, 'bedroom data'!B:B, "Not Found")</f>
        <v>Studio</v>
      </c>
      <c r="D473">
        <f>_xlfn.XLOOKUP(A473, 'bathroom data'!A:A, 'bathroom data'!B:B, "Not Found")</f>
        <v>1</v>
      </c>
      <c r="E473" t="str">
        <f>_xlfn.XLOOKUP(A473, 'bedroom data'!A:A, 'bedroom data'!C:C, "Not Found")</f>
        <v>Dupont Circle</v>
      </c>
      <c r="F473" t="s">
        <v>43</v>
      </c>
      <c r="G473" t="s">
        <v>532</v>
      </c>
      <c r="H473" t="s">
        <v>837</v>
      </c>
      <c r="I473">
        <v>60</v>
      </c>
      <c r="J473" t="s">
        <v>700</v>
      </c>
      <c r="K473" t="s">
        <v>13</v>
      </c>
      <c r="L473" t="s">
        <v>13</v>
      </c>
    </row>
    <row r="474" spans="1:12" x14ac:dyDescent="0.5">
      <c r="A474" t="s">
        <v>838</v>
      </c>
      <c r="B474" t="str">
        <f>_xlfn.XLOOKUP(A474, 'sqft data'!A:A, 'sqft data'!C:C, "Not Found")</f>
        <v>Not Found</v>
      </c>
      <c r="C474" t="str">
        <f>_xlfn.XLOOKUP(A474, 'bedroom data'!A:A, 'bedroom data'!B:B, "Not Found")</f>
        <v>Studio</v>
      </c>
      <c r="D474">
        <f>_xlfn.XLOOKUP(A474, 'bathroom data'!A:A, 'bathroom data'!B:B, "Not Found")</f>
        <v>1</v>
      </c>
      <c r="E474" t="str">
        <f>_xlfn.XLOOKUP(A474, 'bedroom data'!A:A, 'bedroom data'!C:C, "Not Found")</f>
        <v>Dupont Circle</v>
      </c>
      <c r="F474" t="s">
        <v>20</v>
      </c>
      <c r="G474" t="s">
        <v>839</v>
      </c>
      <c r="H474" t="s">
        <v>755</v>
      </c>
      <c r="I474">
        <v>0</v>
      </c>
      <c r="J474" t="s">
        <v>840</v>
      </c>
      <c r="K474" t="s">
        <v>13</v>
      </c>
      <c r="L474" t="s">
        <v>13</v>
      </c>
    </row>
    <row r="475" spans="1:12" x14ac:dyDescent="0.5">
      <c r="A475" t="s">
        <v>838</v>
      </c>
      <c r="B475" t="str">
        <f>_xlfn.XLOOKUP(A475, 'sqft data'!A:A, 'sqft data'!C:C, "Not Found")</f>
        <v>Not Found</v>
      </c>
      <c r="C475" t="str">
        <f>_xlfn.XLOOKUP(A475, 'bedroom data'!A:A, 'bedroom data'!B:B, "Not Found")</f>
        <v>Studio</v>
      </c>
      <c r="D475">
        <f>_xlfn.XLOOKUP(A475, 'bathroom data'!A:A, 'bathroom data'!B:B, "Not Found")</f>
        <v>1</v>
      </c>
      <c r="E475" t="str">
        <f>_xlfn.XLOOKUP(A475, 'bedroom data'!A:A, 'bedroom data'!C:C, "Not Found")</f>
        <v>Dupont Circle</v>
      </c>
      <c r="F475" t="s">
        <v>20</v>
      </c>
      <c r="G475" t="s">
        <v>378</v>
      </c>
      <c r="H475" t="s">
        <v>26</v>
      </c>
      <c r="I475">
        <v>0</v>
      </c>
      <c r="J475" t="s">
        <v>249</v>
      </c>
      <c r="K475" t="s">
        <v>13</v>
      </c>
      <c r="L475" t="s">
        <v>13</v>
      </c>
    </row>
    <row r="476" spans="1:12" x14ac:dyDescent="0.5">
      <c r="A476" t="s">
        <v>838</v>
      </c>
      <c r="B476" t="str">
        <f>_xlfn.XLOOKUP(A476, 'sqft data'!A:A, 'sqft data'!C:C, "Not Found")</f>
        <v>Not Found</v>
      </c>
      <c r="C476" t="str">
        <f>_xlfn.XLOOKUP(A476, 'bedroom data'!A:A, 'bedroom data'!B:B, "Not Found")</f>
        <v>Studio</v>
      </c>
      <c r="D476">
        <f>_xlfn.XLOOKUP(A476, 'bathroom data'!A:A, 'bathroom data'!B:B, "Not Found")</f>
        <v>1</v>
      </c>
      <c r="E476" t="str">
        <f>_xlfn.XLOOKUP(A476, 'bedroom data'!A:A, 'bedroom data'!C:C, "Not Found")</f>
        <v>Dupont Circle</v>
      </c>
      <c r="F476" t="s">
        <v>20</v>
      </c>
      <c r="G476" t="s">
        <v>103</v>
      </c>
      <c r="H476" t="s">
        <v>301</v>
      </c>
      <c r="I476">
        <v>0</v>
      </c>
      <c r="J476" t="s">
        <v>191</v>
      </c>
      <c r="K476" t="s">
        <v>13</v>
      </c>
      <c r="L476" t="s">
        <v>13</v>
      </c>
    </row>
    <row r="477" spans="1:12" x14ac:dyDescent="0.5">
      <c r="A477" t="s">
        <v>838</v>
      </c>
      <c r="B477" t="str">
        <f>_xlfn.XLOOKUP(A477, 'sqft data'!A:A, 'sqft data'!C:C, "Not Found")</f>
        <v>Not Found</v>
      </c>
      <c r="C477" t="str">
        <f>_xlfn.XLOOKUP(A477, 'bedroom data'!A:A, 'bedroom data'!B:B, "Not Found")</f>
        <v>Studio</v>
      </c>
      <c r="D477">
        <f>_xlfn.XLOOKUP(A477, 'bathroom data'!A:A, 'bathroom data'!B:B, "Not Found")</f>
        <v>1</v>
      </c>
      <c r="E477" t="str">
        <f>_xlfn.XLOOKUP(A477, 'bedroom data'!A:A, 'bedroom data'!C:C, "Not Found")</f>
        <v>Dupont Circle</v>
      </c>
      <c r="F477" t="s">
        <v>20</v>
      </c>
      <c r="G477" t="s">
        <v>190</v>
      </c>
      <c r="H477" t="s">
        <v>101</v>
      </c>
      <c r="I477">
        <v>0</v>
      </c>
      <c r="J477" t="s">
        <v>23</v>
      </c>
      <c r="K477" t="s">
        <v>13</v>
      </c>
      <c r="L477" t="s">
        <v>13</v>
      </c>
    </row>
    <row r="478" spans="1:12" x14ac:dyDescent="0.5">
      <c r="A478" t="s">
        <v>838</v>
      </c>
      <c r="B478" t="str">
        <f>_xlfn.XLOOKUP(A478, 'sqft data'!A:A, 'sqft data'!C:C, "Not Found")</f>
        <v>Not Found</v>
      </c>
      <c r="C478" t="str">
        <f>_xlfn.XLOOKUP(A478, 'bedroom data'!A:A, 'bedroom data'!B:B, "Not Found")</f>
        <v>Studio</v>
      </c>
      <c r="D478">
        <f>_xlfn.XLOOKUP(A478, 'bathroom data'!A:A, 'bathroom data'!B:B, "Not Found")</f>
        <v>1</v>
      </c>
      <c r="E478" t="str">
        <f>_xlfn.XLOOKUP(A478, 'bedroom data'!A:A, 'bedroom data'!C:C, "Not Found")</f>
        <v>Dupont Circle</v>
      </c>
      <c r="F478" t="s">
        <v>20</v>
      </c>
      <c r="G478" t="s">
        <v>63</v>
      </c>
      <c r="H478" t="s">
        <v>245</v>
      </c>
      <c r="I478">
        <v>0</v>
      </c>
      <c r="J478" t="s">
        <v>26</v>
      </c>
      <c r="K478" t="s">
        <v>13</v>
      </c>
      <c r="L478" t="s">
        <v>13</v>
      </c>
    </row>
    <row r="479" spans="1:12" x14ac:dyDescent="0.5">
      <c r="A479" t="s">
        <v>838</v>
      </c>
      <c r="B479" t="str">
        <f>_xlfn.XLOOKUP(A479, 'sqft data'!A:A, 'sqft data'!C:C, "Not Found")</f>
        <v>Not Found</v>
      </c>
      <c r="C479" t="str">
        <f>_xlfn.XLOOKUP(A479, 'bedroom data'!A:A, 'bedroom data'!B:B, "Not Found")</f>
        <v>Studio</v>
      </c>
      <c r="D479">
        <f>_xlfn.XLOOKUP(A479, 'bathroom data'!A:A, 'bathroom data'!B:B, "Not Found")</f>
        <v>1</v>
      </c>
      <c r="E479" t="str">
        <f>_xlfn.XLOOKUP(A479, 'bedroom data'!A:A, 'bedroom data'!C:C, "Not Found")</f>
        <v>Dupont Circle</v>
      </c>
      <c r="F479" t="s">
        <v>20</v>
      </c>
      <c r="G479" t="s">
        <v>386</v>
      </c>
      <c r="H479" t="s">
        <v>391</v>
      </c>
      <c r="I479">
        <v>0</v>
      </c>
      <c r="J479" t="s">
        <v>655</v>
      </c>
      <c r="K479" t="s">
        <v>13</v>
      </c>
      <c r="L479" t="s">
        <v>13</v>
      </c>
    </row>
    <row r="480" spans="1:12" x14ac:dyDescent="0.5">
      <c r="A480" t="s">
        <v>838</v>
      </c>
      <c r="B480" t="str">
        <f>_xlfn.XLOOKUP(A480, 'sqft data'!A:A, 'sqft data'!C:C, "Not Found")</f>
        <v>Not Found</v>
      </c>
      <c r="C480" t="str">
        <f>_xlfn.XLOOKUP(A480, 'bedroom data'!A:A, 'bedroom data'!B:B, "Not Found")</f>
        <v>Studio</v>
      </c>
      <c r="D480">
        <f>_xlfn.XLOOKUP(A480, 'bathroom data'!A:A, 'bathroom data'!B:B, "Not Found")</f>
        <v>1</v>
      </c>
      <c r="E480" t="str">
        <f>_xlfn.XLOOKUP(A480, 'bedroom data'!A:A, 'bedroom data'!C:C, "Not Found")</f>
        <v>Dupont Circle</v>
      </c>
      <c r="F480" t="s">
        <v>20</v>
      </c>
      <c r="G480" t="s">
        <v>407</v>
      </c>
      <c r="H480" t="s">
        <v>225</v>
      </c>
      <c r="I480">
        <v>0</v>
      </c>
      <c r="J480" t="s">
        <v>376</v>
      </c>
      <c r="K480" t="s">
        <v>13</v>
      </c>
      <c r="L480" t="s">
        <v>13</v>
      </c>
    </row>
    <row r="481" spans="1:12" x14ac:dyDescent="0.5">
      <c r="A481" t="s">
        <v>838</v>
      </c>
      <c r="B481" t="str">
        <f>_xlfn.XLOOKUP(A481, 'sqft data'!A:A, 'sqft data'!C:C, "Not Found")</f>
        <v>Not Found</v>
      </c>
      <c r="C481" t="str">
        <f>_xlfn.XLOOKUP(A481, 'bedroom data'!A:A, 'bedroom data'!B:B, "Not Found")</f>
        <v>Studio</v>
      </c>
      <c r="D481">
        <f>_xlfn.XLOOKUP(A481, 'bathroom data'!A:A, 'bathroom data'!B:B, "Not Found")</f>
        <v>1</v>
      </c>
      <c r="E481" t="str">
        <f>_xlfn.XLOOKUP(A481, 'bedroom data'!A:A, 'bedroom data'!C:C, "Not Found")</f>
        <v>Dupont Circle</v>
      </c>
      <c r="F481" t="s">
        <v>20</v>
      </c>
      <c r="G481" t="s">
        <v>24</v>
      </c>
      <c r="H481" t="s">
        <v>293</v>
      </c>
      <c r="I481">
        <v>0</v>
      </c>
      <c r="J481" t="s">
        <v>224</v>
      </c>
      <c r="K481" t="s">
        <v>13</v>
      </c>
      <c r="L481" t="s">
        <v>13</v>
      </c>
    </row>
    <row r="482" spans="1:12" x14ac:dyDescent="0.5">
      <c r="A482" t="s">
        <v>838</v>
      </c>
      <c r="B482" t="str">
        <f>_xlfn.XLOOKUP(A482, 'sqft data'!A:A, 'sqft data'!C:C, "Not Found")</f>
        <v>Not Found</v>
      </c>
      <c r="C482" t="str">
        <f>_xlfn.XLOOKUP(A482, 'bedroom data'!A:A, 'bedroom data'!B:B, "Not Found")</f>
        <v>Studio</v>
      </c>
      <c r="D482">
        <f>_xlfn.XLOOKUP(A482, 'bathroom data'!A:A, 'bathroom data'!B:B, "Not Found")</f>
        <v>1</v>
      </c>
      <c r="E482" t="str">
        <f>_xlfn.XLOOKUP(A482, 'bedroom data'!A:A, 'bedroom data'!C:C, "Not Found")</f>
        <v>Dupont Circle</v>
      </c>
      <c r="F482" t="s">
        <v>20</v>
      </c>
      <c r="G482" t="s">
        <v>250</v>
      </c>
      <c r="H482" t="s">
        <v>257</v>
      </c>
      <c r="I482">
        <v>0</v>
      </c>
      <c r="J482" t="s">
        <v>252</v>
      </c>
      <c r="K482" t="s">
        <v>13</v>
      </c>
      <c r="L482" t="s">
        <v>13</v>
      </c>
    </row>
    <row r="483" spans="1:12" x14ac:dyDescent="0.5">
      <c r="A483" t="s">
        <v>838</v>
      </c>
      <c r="B483" t="str">
        <f>_xlfn.XLOOKUP(A483, 'sqft data'!A:A, 'sqft data'!C:C, "Not Found")</f>
        <v>Not Found</v>
      </c>
      <c r="C483" t="str">
        <f>_xlfn.XLOOKUP(A483, 'bedroom data'!A:A, 'bedroom data'!B:B, "Not Found")</f>
        <v>Studio</v>
      </c>
      <c r="D483">
        <f>_xlfn.XLOOKUP(A483, 'bathroom data'!A:A, 'bathroom data'!B:B, "Not Found")</f>
        <v>1</v>
      </c>
      <c r="E483" t="str">
        <f>_xlfn.XLOOKUP(A483, 'bedroom data'!A:A, 'bedroom data'!C:C, "Not Found")</f>
        <v>Dupont Circle</v>
      </c>
      <c r="F483" t="s">
        <v>20</v>
      </c>
      <c r="G483" t="s">
        <v>785</v>
      </c>
      <c r="H483" t="s">
        <v>401</v>
      </c>
      <c r="I483">
        <v>0</v>
      </c>
      <c r="J483" t="s">
        <v>16</v>
      </c>
      <c r="K483" t="s">
        <v>13</v>
      </c>
      <c r="L483" t="s">
        <v>13</v>
      </c>
    </row>
    <row r="484" spans="1:12" x14ac:dyDescent="0.5">
      <c r="A484" t="s">
        <v>841</v>
      </c>
      <c r="B484" t="str">
        <f>_xlfn.XLOOKUP(A484, 'sqft data'!A:A, 'sqft data'!C:C, "Not Found")</f>
        <v>Not Found</v>
      </c>
      <c r="C484">
        <f>_xlfn.XLOOKUP(A484, 'bedroom data'!A:A, 'bedroom data'!B:B, "Not Found")</f>
        <v>2</v>
      </c>
      <c r="D484">
        <f>_xlfn.XLOOKUP(A484, 'bathroom data'!A:A, 'bathroom data'!B:B, "Not Found")</f>
        <v>1.5</v>
      </c>
      <c r="E484" t="str">
        <f>_xlfn.XLOOKUP(A484, 'bedroom data'!A:A, 'bedroom data'!C:C, "Not Found")</f>
        <v>Dupont Circle</v>
      </c>
      <c r="F484" t="s">
        <v>20</v>
      </c>
      <c r="G484" t="s">
        <v>842</v>
      </c>
      <c r="H484" t="s">
        <v>284</v>
      </c>
      <c r="I484">
        <v>0</v>
      </c>
      <c r="J484" t="s">
        <v>843</v>
      </c>
      <c r="K484" t="s">
        <v>13</v>
      </c>
      <c r="L484" t="s">
        <v>13</v>
      </c>
    </row>
    <row r="485" spans="1:12" x14ac:dyDescent="0.5">
      <c r="A485" t="s">
        <v>844</v>
      </c>
      <c r="B485" t="str">
        <f>_xlfn.XLOOKUP(A485, 'sqft data'!A:A, 'sqft data'!C:C, "Not Found")</f>
        <v>Not Found</v>
      </c>
      <c r="C485" t="str">
        <f>_xlfn.XLOOKUP(A485, 'bedroom data'!A:A, 'bedroom data'!B:B, "Not Found")</f>
        <v>Studio</v>
      </c>
      <c r="D485">
        <f>_xlfn.XLOOKUP(A485, 'bathroom data'!A:A, 'bathroom data'!B:B, "Not Found")</f>
        <v>1</v>
      </c>
      <c r="E485" t="str">
        <f>_xlfn.XLOOKUP(A485, 'bedroom data'!A:A, 'bedroom data'!C:C, "Not Found")</f>
        <v>Dupont Circle</v>
      </c>
      <c r="F485" t="s">
        <v>20</v>
      </c>
      <c r="G485" t="s">
        <v>264</v>
      </c>
      <c r="H485" t="s">
        <v>24</v>
      </c>
      <c r="I485">
        <v>0</v>
      </c>
      <c r="J485" t="s">
        <v>49</v>
      </c>
      <c r="K485" t="s">
        <v>13</v>
      </c>
      <c r="L485" t="s">
        <v>13</v>
      </c>
    </row>
    <row r="486" spans="1:12" x14ac:dyDescent="0.5">
      <c r="A486" t="s">
        <v>844</v>
      </c>
      <c r="B486" t="str">
        <f>_xlfn.XLOOKUP(A486, 'sqft data'!A:A, 'sqft data'!C:C, "Not Found")</f>
        <v>Not Found</v>
      </c>
      <c r="C486" t="str">
        <f>_xlfn.XLOOKUP(A486, 'bedroom data'!A:A, 'bedroom data'!B:B, "Not Found")</f>
        <v>Studio</v>
      </c>
      <c r="D486">
        <f>_xlfn.XLOOKUP(A486, 'bathroom data'!A:A, 'bathroom data'!B:B, "Not Found")</f>
        <v>1</v>
      </c>
      <c r="E486" t="str">
        <f>_xlfn.XLOOKUP(A486, 'bedroom data'!A:A, 'bedroom data'!C:C, "Not Found")</f>
        <v>Dupont Circle</v>
      </c>
      <c r="F486" t="s">
        <v>20</v>
      </c>
      <c r="G486" t="s">
        <v>99</v>
      </c>
      <c r="H486" t="s">
        <v>402</v>
      </c>
      <c r="I486">
        <v>0</v>
      </c>
      <c r="J486" t="s">
        <v>492</v>
      </c>
      <c r="K486" t="s">
        <v>13</v>
      </c>
      <c r="L486" t="s">
        <v>13</v>
      </c>
    </row>
    <row r="487" spans="1:12" x14ac:dyDescent="0.5">
      <c r="A487" t="s">
        <v>844</v>
      </c>
      <c r="B487" t="str">
        <f>_xlfn.XLOOKUP(A487, 'sqft data'!A:A, 'sqft data'!C:C, "Not Found")</f>
        <v>Not Found</v>
      </c>
      <c r="C487" t="str">
        <f>_xlfn.XLOOKUP(A487, 'bedroom data'!A:A, 'bedroom data'!B:B, "Not Found")</f>
        <v>Studio</v>
      </c>
      <c r="D487">
        <f>_xlfn.XLOOKUP(A487, 'bathroom data'!A:A, 'bathroom data'!B:B, "Not Found")</f>
        <v>1</v>
      </c>
      <c r="E487" t="str">
        <f>_xlfn.XLOOKUP(A487, 'bedroom data'!A:A, 'bedroom data'!C:C, "Not Found")</f>
        <v>Dupont Circle</v>
      </c>
      <c r="F487" t="s">
        <v>20</v>
      </c>
      <c r="G487" t="s">
        <v>333</v>
      </c>
      <c r="H487" t="s">
        <v>34</v>
      </c>
      <c r="I487">
        <v>0</v>
      </c>
      <c r="J487" t="s">
        <v>655</v>
      </c>
      <c r="K487" t="s">
        <v>13</v>
      </c>
      <c r="L487" t="s">
        <v>13</v>
      </c>
    </row>
    <row r="488" spans="1:12" x14ac:dyDescent="0.5">
      <c r="A488" t="s">
        <v>845</v>
      </c>
      <c r="B488" t="str">
        <f>_xlfn.XLOOKUP(A488, 'sqft data'!A:A, 'sqft data'!C:C, "Not Found")</f>
        <v>Not Found</v>
      </c>
      <c r="C488">
        <f>_xlfn.XLOOKUP(A488, 'bedroom data'!A:A, 'bedroom data'!B:B, "Not Found")</f>
        <v>2</v>
      </c>
      <c r="D488">
        <f>_xlfn.XLOOKUP(A488, 'bathroom data'!A:A, 'bathroom data'!B:B, "Not Found")</f>
        <v>2</v>
      </c>
      <c r="E488" t="str">
        <f>_xlfn.XLOOKUP(A488, 'bedroom data'!A:A, 'bedroom data'!C:C, "Not Found")</f>
        <v>Dupont Circle</v>
      </c>
      <c r="F488" t="s">
        <v>20</v>
      </c>
      <c r="G488" t="s">
        <v>492</v>
      </c>
      <c r="H488" t="s">
        <v>302</v>
      </c>
      <c r="I488">
        <v>0</v>
      </c>
      <c r="J488" t="s">
        <v>846</v>
      </c>
      <c r="K488" t="s">
        <v>13</v>
      </c>
      <c r="L488" t="s">
        <v>13</v>
      </c>
    </row>
    <row r="489" spans="1:12" x14ac:dyDescent="0.5">
      <c r="A489" t="s">
        <v>845</v>
      </c>
      <c r="B489" t="str">
        <f>_xlfn.XLOOKUP(A489, 'sqft data'!A:A, 'sqft data'!C:C, "Not Found")</f>
        <v>Not Found</v>
      </c>
      <c r="C489">
        <f>_xlfn.XLOOKUP(A489, 'bedroom data'!A:A, 'bedroom data'!B:B, "Not Found")</f>
        <v>2</v>
      </c>
      <c r="D489">
        <f>_xlfn.XLOOKUP(A489, 'bathroom data'!A:A, 'bathroom data'!B:B, "Not Found")</f>
        <v>2</v>
      </c>
      <c r="E489" t="str">
        <f>_xlfn.XLOOKUP(A489, 'bedroom data'!A:A, 'bedroom data'!C:C, "Not Found")</f>
        <v>Dupont Circle</v>
      </c>
      <c r="F489" t="s">
        <v>20</v>
      </c>
      <c r="G489" t="s">
        <v>296</v>
      </c>
      <c r="H489" t="s">
        <v>282</v>
      </c>
      <c r="I489">
        <v>0</v>
      </c>
      <c r="J489" t="s">
        <v>847</v>
      </c>
      <c r="K489" t="s">
        <v>13</v>
      </c>
      <c r="L489" t="s">
        <v>13</v>
      </c>
    </row>
    <row r="490" spans="1:12" x14ac:dyDescent="0.5">
      <c r="A490" t="s">
        <v>845</v>
      </c>
      <c r="B490" t="str">
        <f>_xlfn.XLOOKUP(A490, 'sqft data'!A:A, 'sqft data'!C:C, "Not Found")</f>
        <v>Not Found</v>
      </c>
      <c r="C490">
        <f>_xlfn.XLOOKUP(A490, 'bedroom data'!A:A, 'bedroom data'!B:B, "Not Found")</f>
        <v>2</v>
      </c>
      <c r="D490">
        <f>_xlfn.XLOOKUP(A490, 'bathroom data'!A:A, 'bathroom data'!B:B, "Not Found")</f>
        <v>2</v>
      </c>
      <c r="E490" t="str">
        <f>_xlfn.XLOOKUP(A490, 'bedroom data'!A:A, 'bedroom data'!C:C, "Not Found")</f>
        <v>Dupont Circle</v>
      </c>
      <c r="F490" t="s">
        <v>20</v>
      </c>
      <c r="G490" t="s">
        <v>357</v>
      </c>
      <c r="H490" t="s">
        <v>252</v>
      </c>
      <c r="I490">
        <v>0</v>
      </c>
      <c r="J490" t="s">
        <v>848</v>
      </c>
      <c r="K490" t="s">
        <v>13</v>
      </c>
      <c r="L490" t="s">
        <v>13</v>
      </c>
    </row>
    <row r="491" spans="1:12" x14ac:dyDescent="0.5">
      <c r="A491" t="s">
        <v>845</v>
      </c>
      <c r="B491" t="str">
        <f>_xlfn.XLOOKUP(A491, 'sqft data'!A:A, 'sqft data'!C:C, "Not Found")</f>
        <v>Not Found</v>
      </c>
      <c r="C491">
        <f>_xlfn.XLOOKUP(A491, 'bedroom data'!A:A, 'bedroom data'!B:B, "Not Found")</f>
        <v>2</v>
      </c>
      <c r="D491">
        <f>_xlfn.XLOOKUP(A491, 'bathroom data'!A:A, 'bathroom data'!B:B, "Not Found")</f>
        <v>2</v>
      </c>
      <c r="E491" t="str">
        <f>_xlfn.XLOOKUP(A491, 'bedroom data'!A:A, 'bedroom data'!C:C, "Not Found")</f>
        <v>Dupont Circle</v>
      </c>
      <c r="F491" t="s">
        <v>20</v>
      </c>
      <c r="G491" t="s">
        <v>187</v>
      </c>
      <c r="H491" t="s">
        <v>655</v>
      </c>
      <c r="I491">
        <v>0</v>
      </c>
      <c r="J491" t="s">
        <v>492</v>
      </c>
      <c r="K491" t="s">
        <v>13</v>
      </c>
      <c r="L491" t="s">
        <v>13</v>
      </c>
    </row>
    <row r="492" spans="1:12" x14ac:dyDescent="0.5">
      <c r="A492" t="s">
        <v>845</v>
      </c>
      <c r="B492" t="str">
        <f>_xlfn.XLOOKUP(A492, 'sqft data'!A:A, 'sqft data'!C:C, "Not Found")</f>
        <v>Not Found</v>
      </c>
      <c r="C492">
        <f>_xlfn.XLOOKUP(A492, 'bedroom data'!A:A, 'bedroom data'!B:B, "Not Found")</f>
        <v>2</v>
      </c>
      <c r="D492">
        <f>_xlfn.XLOOKUP(A492, 'bathroom data'!A:A, 'bathroom data'!B:B, "Not Found")</f>
        <v>2</v>
      </c>
      <c r="E492" t="str">
        <f>_xlfn.XLOOKUP(A492, 'bedroom data'!A:A, 'bedroom data'!C:C, "Not Found")</f>
        <v>Dupont Circle</v>
      </c>
      <c r="F492" t="s">
        <v>20</v>
      </c>
      <c r="G492" t="s">
        <v>401</v>
      </c>
      <c r="H492" t="s">
        <v>284</v>
      </c>
      <c r="I492">
        <v>0</v>
      </c>
      <c r="J492" t="s">
        <v>169</v>
      </c>
      <c r="K492" t="s">
        <v>13</v>
      </c>
      <c r="L492" t="s">
        <v>13</v>
      </c>
    </row>
    <row r="493" spans="1:12" x14ac:dyDescent="0.5">
      <c r="A493" t="s">
        <v>845</v>
      </c>
      <c r="B493" t="str">
        <f>_xlfn.XLOOKUP(A493, 'sqft data'!A:A, 'sqft data'!C:C, "Not Found")</f>
        <v>Not Found</v>
      </c>
      <c r="C493">
        <f>_xlfn.XLOOKUP(A493, 'bedroom data'!A:A, 'bedroom data'!B:B, "Not Found")</f>
        <v>2</v>
      </c>
      <c r="D493">
        <f>_xlfn.XLOOKUP(A493, 'bathroom data'!A:A, 'bathroom data'!B:B, "Not Found")</f>
        <v>2</v>
      </c>
      <c r="E493" t="str">
        <f>_xlfn.XLOOKUP(A493, 'bedroom data'!A:A, 'bedroom data'!C:C, "Not Found")</f>
        <v>Dupont Circle</v>
      </c>
      <c r="F493" t="s">
        <v>20</v>
      </c>
      <c r="G493" t="s">
        <v>739</v>
      </c>
      <c r="H493" t="s">
        <v>808</v>
      </c>
      <c r="I493">
        <v>0</v>
      </c>
      <c r="J493" t="s">
        <v>849</v>
      </c>
      <c r="K493" t="s">
        <v>13</v>
      </c>
      <c r="L493" t="s">
        <v>13</v>
      </c>
    </row>
    <row r="494" spans="1:12" x14ac:dyDescent="0.5">
      <c r="A494" t="s">
        <v>845</v>
      </c>
      <c r="B494" t="str">
        <f>_xlfn.XLOOKUP(A494, 'sqft data'!A:A, 'sqft data'!C:C, "Not Found")</f>
        <v>Not Found</v>
      </c>
      <c r="C494">
        <f>_xlfn.XLOOKUP(A494, 'bedroom data'!A:A, 'bedroom data'!B:B, "Not Found")</f>
        <v>2</v>
      </c>
      <c r="D494">
        <f>_xlfn.XLOOKUP(A494, 'bathroom data'!A:A, 'bathroom data'!B:B, "Not Found")</f>
        <v>2</v>
      </c>
      <c r="E494" t="str">
        <f>_xlfn.XLOOKUP(A494, 'bedroom data'!A:A, 'bedroom data'!C:C, "Not Found")</f>
        <v>Dupont Circle</v>
      </c>
      <c r="F494" t="s">
        <v>20</v>
      </c>
      <c r="G494" t="s">
        <v>25</v>
      </c>
      <c r="H494" t="s">
        <v>323</v>
      </c>
      <c r="I494">
        <v>0</v>
      </c>
      <c r="J494" t="s">
        <v>827</v>
      </c>
      <c r="K494" t="s">
        <v>13</v>
      </c>
      <c r="L494" t="s">
        <v>13</v>
      </c>
    </row>
    <row r="495" spans="1:12" x14ac:dyDescent="0.5">
      <c r="A495" t="s">
        <v>845</v>
      </c>
      <c r="B495" t="str">
        <f>_xlfn.XLOOKUP(A495, 'sqft data'!A:A, 'sqft data'!C:C, "Not Found")</f>
        <v>Not Found</v>
      </c>
      <c r="C495">
        <f>_xlfn.XLOOKUP(A495, 'bedroom data'!A:A, 'bedroom data'!B:B, "Not Found")</f>
        <v>2</v>
      </c>
      <c r="D495">
        <f>_xlfn.XLOOKUP(A495, 'bathroom data'!A:A, 'bathroom data'!B:B, "Not Found")</f>
        <v>2</v>
      </c>
      <c r="E495" t="str">
        <f>_xlfn.XLOOKUP(A495, 'bedroom data'!A:A, 'bedroom data'!C:C, "Not Found")</f>
        <v>Dupont Circle</v>
      </c>
      <c r="F495" t="s">
        <v>20</v>
      </c>
      <c r="G495" t="s">
        <v>548</v>
      </c>
      <c r="H495" t="s">
        <v>560</v>
      </c>
      <c r="I495">
        <v>0</v>
      </c>
      <c r="J495" t="s">
        <v>23</v>
      </c>
      <c r="K495" t="s">
        <v>13</v>
      </c>
      <c r="L495" t="s">
        <v>13</v>
      </c>
    </row>
    <row r="496" spans="1:12" x14ac:dyDescent="0.5">
      <c r="A496" t="s">
        <v>845</v>
      </c>
      <c r="B496" t="str">
        <f>_xlfn.XLOOKUP(A496, 'sqft data'!A:A, 'sqft data'!C:C, "Not Found")</f>
        <v>Not Found</v>
      </c>
      <c r="C496">
        <f>_xlfn.XLOOKUP(A496, 'bedroom data'!A:A, 'bedroom data'!B:B, "Not Found")</f>
        <v>2</v>
      </c>
      <c r="D496">
        <f>_xlfn.XLOOKUP(A496, 'bathroom data'!A:A, 'bathroom data'!B:B, "Not Found")</f>
        <v>2</v>
      </c>
      <c r="E496" t="str">
        <f>_xlfn.XLOOKUP(A496, 'bedroom data'!A:A, 'bedroom data'!C:C, "Not Found")</f>
        <v>Dupont Circle</v>
      </c>
      <c r="F496" t="s">
        <v>20</v>
      </c>
      <c r="G496" t="s">
        <v>504</v>
      </c>
      <c r="H496" t="s">
        <v>333</v>
      </c>
      <c r="I496">
        <v>0</v>
      </c>
      <c r="J496" t="s">
        <v>369</v>
      </c>
      <c r="K496" t="s">
        <v>13</v>
      </c>
      <c r="L496" t="s">
        <v>13</v>
      </c>
    </row>
    <row r="497" spans="1:12" x14ac:dyDescent="0.5">
      <c r="A497" t="s">
        <v>845</v>
      </c>
      <c r="B497" t="str">
        <f>_xlfn.XLOOKUP(A497, 'sqft data'!A:A, 'sqft data'!C:C, "Not Found")</f>
        <v>Not Found</v>
      </c>
      <c r="C497">
        <f>_xlfn.XLOOKUP(A497, 'bedroom data'!A:A, 'bedroom data'!B:B, "Not Found")</f>
        <v>2</v>
      </c>
      <c r="D497">
        <f>_xlfn.XLOOKUP(A497, 'bathroom data'!A:A, 'bathroom data'!B:B, "Not Found")</f>
        <v>2</v>
      </c>
      <c r="E497" t="str">
        <f>_xlfn.XLOOKUP(A497, 'bedroom data'!A:A, 'bedroom data'!C:C, "Not Found")</f>
        <v>Dupont Circle</v>
      </c>
      <c r="F497" t="s">
        <v>20</v>
      </c>
      <c r="G497" t="s">
        <v>346</v>
      </c>
      <c r="H497" t="s">
        <v>385</v>
      </c>
      <c r="I497">
        <v>0</v>
      </c>
      <c r="J497" t="s">
        <v>410</v>
      </c>
      <c r="K497" t="s">
        <v>13</v>
      </c>
      <c r="L497" t="s">
        <v>13</v>
      </c>
    </row>
    <row r="498" spans="1:12" x14ac:dyDescent="0.5">
      <c r="A498" t="s">
        <v>845</v>
      </c>
      <c r="B498" t="str">
        <f>_xlfn.XLOOKUP(A498, 'sqft data'!A:A, 'sqft data'!C:C, "Not Found")</f>
        <v>Not Found</v>
      </c>
      <c r="C498">
        <f>_xlfn.XLOOKUP(A498, 'bedroom data'!A:A, 'bedroom data'!B:B, "Not Found")</f>
        <v>2</v>
      </c>
      <c r="D498">
        <f>_xlfn.XLOOKUP(A498, 'bathroom data'!A:A, 'bathroom data'!B:B, "Not Found")</f>
        <v>2</v>
      </c>
      <c r="E498" t="str">
        <f>_xlfn.XLOOKUP(A498, 'bedroom data'!A:A, 'bedroom data'!C:C, "Not Found")</f>
        <v>Dupont Circle</v>
      </c>
      <c r="F498" t="s">
        <v>20</v>
      </c>
      <c r="G498" t="s">
        <v>287</v>
      </c>
      <c r="H498" t="s">
        <v>101</v>
      </c>
      <c r="I498">
        <v>0</v>
      </c>
      <c r="J498" t="s">
        <v>410</v>
      </c>
      <c r="K498" t="s">
        <v>13</v>
      </c>
      <c r="L498" t="s">
        <v>13</v>
      </c>
    </row>
    <row r="499" spans="1:12" x14ac:dyDescent="0.5">
      <c r="A499" t="s">
        <v>845</v>
      </c>
      <c r="B499" t="str">
        <f>_xlfn.XLOOKUP(A499, 'sqft data'!A:A, 'sqft data'!C:C, "Not Found")</f>
        <v>Not Found</v>
      </c>
      <c r="C499">
        <f>_xlfn.XLOOKUP(A499, 'bedroom data'!A:A, 'bedroom data'!B:B, "Not Found")</f>
        <v>2</v>
      </c>
      <c r="D499">
        <f>_xlfn.XLOOKUP(A499, 'bathroom data'!A:A, 'bathroom data'!B:B, "Not Found")</f>
        <v>2</v>
      </c>
      <c r="E499" t="str">
        <f>_xlfn.XLOOKUP(A499, 'bedroom data'!A:A, 'bedroom data'!C:C, "Not Found")</f>
        <v>Dupont Circle</v>
      </c>
      <c r="F499" t="s">
        <v>20</v>
      </c>
      <c r="G499" t="s">
        <v>383</v>
      </c>
      <c r="H499" t="s">
        <v>44</v>
      </c>
      <c r="I499">
        <v>0</v>
      </c>
      <c r="J499" t="s">
        <v>248</v>
      </c>
      <c r="K499" t="s">
        <v>13</v>
      </c>
      <c r="L499" t="s">
        <v>13</v>
      </c>
    </row>
    <row r="500" spans="1:12" x14ac:dyDescent="0.5">
      <c r="A500" t="s">
        <v>845</v>
      </c>
      <c r="B500" t="str">
        <f>_xlfn.XLOOKUP(A500, 'sqft data'!A:A, 'sqft data'!C:C, "Not Found")</f>
        <v>Not Found</v>
      </c>
      <c r="C500">
        <f>_xlfn.XLOOKUP(A500, 'bedroom data'!A:A, 'bedroom data'!B:B, "Not Found")</f>
        <v>2</v>
      </c>
      <c r="D500">
        <f>_xlfn.XLOOKUP(A500, 'bathroom data'!A:A, 'bathroom data'!B:B, "Not Found")</f>
        <v>2</v>
      </c>
      <c r="E500" t="str">
        <f>_xlfn.XLOOKUP(A500, 'bedroom data'!A:A, 'bedroom data'!C:C, "Not Found")</f>
        <v>Dupont Circle</v>
      </c>
      <c r="F500" t="s">
        <v>20</v>
      </c>
      <c r="G500" t="s">
        <v>391</v>
      </c>
      <c r="H500" t="s">
        <v>55</v>
      </c>
      <c r="I500">
        <v>0</v>
      </c>
      <c r="J500" t="s">
        <v>113</v>
      </c>
      <c r="K500" t="s">
        <v>13</v>
      </c>
      <c r="L500" t="s">
        <v>13</v>
      </c>
    </row>
    <row r="501" spans="1:12" x14ac:dyDescent="0.5">
      <c r="A501" t="s">
        <v>845</v>
      </c>
      <c r="B501" t="str">
        <f>_xlfn.XLOOKUP(A501, 'sqft data'!A:A, 'sqft data'!C:C, "Not Found")</f>
        <v>Not Found</v>
      </c>
      <c r="C501">
        <f>_xlfn.XLOOKUP(A501, 'bedroom data'!A:A, 'bedroom data'!B:B, "Not Found")</f>
        <v>2</v>
      </c>
      <c r="D501">
        <f>_xlfn.XLOOKUP(A501, 'bathroom data'!A:A, 'bathroom data'!B:B, "Not Found")</f>
        <v>2</v>
      </c>
      <c r="E501" t="str">
        <f>_xlfn.XLOOKUP(A501, 'bedroom data'!A:A, 'bedroom data'!C:C, "Not Found")</f>
        <v>Dupont Circle</v>
      </c>
      <c r="F501" t="s">
        <v>20</v>
      </c>
      <c r="G501" t="s">
        <v>250</v>
      </c>
      <c r="H501" t="s">
        <v>226</v>
      </c>
      <c r="I501">
        <v>0</v>
      </c>
      <c r="J501" t="s">
        <v>224</v>
      </c>
      <c r="K501" t="s">
        <v>13</v>
      </c>
      <c r="L501" t="s">
        <v>13</v>
      </c>
    </row>
    <row r="502" spans="1:12" x14ac:dyDescent="0.5">
      <c r="A502" t="s">
        <v>845</v>
      </c>
      <c r="B502" t="str">
        <f>_xlfn.XLOOKUP(A502, 'sqft data'!A:A, 'sqft data'!C:C, "Not Found")</f>
        <v>Not Found</v>
      </c>
      <c r="C502">
        <f>_xlfn.XLOOKUP(A502, 'bedroom data'!A:A, 'bedroom data'!B:B, "Not Found")</f>
        <v>2</v>
      </c>
      <c r="D502">
        <f>_xlfn.XLOOKUP(A502, 'bathroom data'!A:A, 'bathroom data'!B:B, "Not Found")</f>
        <v>2</v>
      </c>
      <c r="E502" t="str">
        <f>_xlfn.XLOOKUP(A502, 'bedroom data'!A:A, 'bedroom data'!C:C, "Not Found")</f>
        <v>Dupont Circle</v>
      </c>
      <c r="F502" t="s">
        <v>20</v>
      </c>
      <c r="G502" t="s">
        <v>243</v>
      </c>
      <c r="H502" t="s">
        <v>408</v>
      </c>
      <c r="I502">
        <v>0</v>
      </c>
      <c r="J502" t="s">
        <v>346</v>
      </c>
      <c r="K502" t="s">
        <v>13</v>
      </c>
      <c r="L502" t="s">
        <v>13</v>
      </c>
    </row>
    <row r="503" spans="1:12" x14ac:dyDescent="0.5">
      <c r="A503" t="s">
        <v>845</v>
      </c>
      <c r="B503" t="str">
        <f>_xlfn.XLOOKUP(A503, 'sqft data'!A:A, 'sqft data'!C:C, "Not Found")</f>
        <v>Not Found</v>
      </c>
      <c r="C503">
        <f>_xlfn.XLOOKUP(A503, 'bedroom data'!A:A, 'bedroom data'!B:B, "Not Found")</f>
        <v>2</v>
      </c>
      <c r="D503">
        <f>_xlfn.XLOOKUP(A503, 'bathroom data'!A:A, 'bathroom data'!B:B, "Not Found")</f>
        <v>2</v>
      </c>
      <c r="E503" t="str">
        <f>_xlfn.XLOOKUP(A503, 'bedroom data'!A:A, 'bedroom data'!C:C, "Not Found")</f>
        <v>Dupont Circle</v>
      </c>
      <c r="F503" t="s">
        <v>20</v>
      </c>
      <c r="G503" t="s">
        <v>45</v>
      </c>
      <c r="H503" t="s">
        <v>29</v>
      </c>
      <c r="I503">
        <v>0</v>
      </c>
      <c r="J503" t="s">
        <v>386</v>
      </c>
      <c r="K503" t="s">
        <v>13</v>
      </c>
      <c r="L503" t="s">
        <v>13</v>
      </c>
    </row>
    <row r="504" spans="1:12" x14ac:dyDescent="0.5">
      <c r="A504" t="s">
        <v>850</v>
      </c>
      <c r="B504" t="str">
        <f>_xlfn.XLOOKUP(A504, 'sqft data'!A:A, 'sqft data'!C:C, "Not Found")</f>
        <v>Not Found</v>
      </c>
      <c r="C504">
        <f>_xlfn.XLOOKUP(A504, 'bedroom data'!A:A, 'bedroom data'!B:B, "Not Found")</f>
        <v>2</v>
      </c>
      <c r="D504">
        <f>_xlfn.XLOOKUP(A504, 'bathroom data'!A:A, 'bathroom data'!B:B, "Not Found")</f>
        <v>2</v>
      </c>
      <c r="E504" t="str">
        <f>_xlfn.XLOOKUP(A504, 'bedroom data'!A:A, 'bedroom data'!C:C, "Not Found")</f>
        <v>Dupont Circle</v>
      </c>
      <c r="F504" t="s">
        <v>20</v>
      </c>
      <c r="G504" t="s">
        <v>191</v>
      </c>
      <c r="H504" t="s">
        <v>284</v>
      </c>
      <c r="I504">
        <v>0</v>
      </c>
      <c r="J504" t="s">
        <v>851</v>
      </c>
      <c r="K504" t="s">
        <v>13</v>
      </c>
      <c r="L504" t="s">
        <v>13</v>
      </c>
    </row>
    <row r="505" spans="1:12" x14ac:dyDescent="0.5">
      <c r="A505" t="s">
        <v>850</v>
      </c>
      <c r="B505" t="str">
        <f>_xlfn.XLOOKUP(A505, 'sqft data'!A:A, 'sqft data'!C:C, "Not Found")</f>
        <v>Not Found</v>
      </c>
      <c r="C505">
        <f>_xlfn.XLOOKUP(A505, 'bedroom data'!A:A, 'bedroom data'!B:B, "Not Found")</f>
        <v>2</v>
      </c>
      <c r="D505">
        <f>_xlfn.XLOOKUP(A505, 'bathroom data'!A:A, 'bathroom data'!B:B, "Not Found")</f>
        <v>2</v>
      </c>
      <c r="E505" t="str">
        <f>_xlfn.XLOOKUP(A505, 'bedroom data'!A:A, 'bedroom data'!C:C, "Not Found")</f>
        <v>Dupont Circle</v>
      </c>
      <c r="F505" t="s">
        <v>20</v>
      </c>
      <c r="G505" t="s">
        <v>648</v>
      </c>
      <c r="H505" t="s">
        <v>810</v>
      </c>
      <c r="I505">
        <v>0</v>
      </c>
      <c r="J505" t="s">
        <v>381</v>
      </c>
      <c r="K505" t="s">
        <v>13</v>
      </c>
      <c r="L505" t="s">
        <v>13</v>
      </c>
    </row>
    <row r="506" spans="1:12" x14ac:dyDescent="0.5">
      <c r="A506" t="s">
        <v>850</v>
      </c>
      <c r="B506" t="str">
        <f>_xlfn.XLOOKUP(A506, 'sqft data'!A:A, 'sqft data'!C:C, "Not Found")</f>
        <v>Not Found</v>
      </c>
      <c r="C506">
        <f>_xlfn.XLOOKUP(A506, 'bedroom data'!A:A, 'bedroom data'!B:B, "Not Found")</f>
        <v>2</v>
      </c>
      <c r="D506">
        <f>_xlfn.XLOOKUP(A506, 'bathroom data'!A:A, 'bathroom data'!B:B, "Not Found")</f>
        <v>2</v>
      </c>
      <c r="E506" t="str">
        <f>_xlfn.XLOOKUP(A506, 'bedroom data'!A:A, 'bedroom data'!C:C, "Not Found")</f>
        <v>Dupont Circle</v>
      </c>
      <c r="F506" t="s">
        <v>20</v>
      </c>
      <c r="G506" t="s">
        <v>214</v>
      </c>
      <c r="H506" t="s">
        <v>432</v>
      </c>
      <c r="I506">
        <v>0</v>
      </c>
      <c r="J506" t="s">
        <v>407</v>
      </c>
      <c r="K506" t="s">
        <v>13</v>
      </c>
      <c r="L506" t="s">
        <v>13</v>
      </c>
    </row>
    <row r="507" spans="1:12" x14ac:dyDescent="0.5">
      <c r="A507" t="s">
        <v>850</v>
      </c>
      <c r="B507" t="str">
        <f>_xlfn.XLOOKUP(A507, 'sqft data'!A:A, 'sqft data'!C:C, "Not Found")</f>
        <v>Not Found</v>
      </c>
      <c r="C507">
        <f>_xlfn.XLOOKUP(A507, 'bedroom data'!A:A, 'bedroom data'!B:B, "Not Found")</f>
        <v>2</v>
      </c>
      <c r="D507">
        <f>_xlfn.XLOOKUP(A507, 'bathroom data'!A:A, 'bathroom data'!B:B, "Not Found")</f>
        <v>2</v>
      </c>
      <c r="E507" t="str">
        <f>_xlfn.XLOOKUP(A507, 'bedroom data'!A:A, 'bedroom data'!C:C, "Not Found")</f>
        <v>Dupont Circle</v>
      </c>
      <c r="F507" t="s">
        <v>20</v>
      </c>
      <c r="G507" t="s">
        <v>852</v>
      </c>
      <c r="H507" t="s">
        <v>76</v>
      </c>
      <c r="I507">
        <v>0</v>
      </c>
      <c r="J507" t="s">
        <v>407</v>
      </c>
      <c r="K507" t="s">
        <v>13</v>
      </c>
      <c r="L507" t="s">
        <v>13</v>
      </c>
    </row>
    <row r="508" spans="1:12" x14ac:dyDescent="0.5">
      <c r="A508" t="s">
        <v>853</v>
      </c>
      <c r="B508" t="str">
        <f>_xlfn.XLOOKUP(A508, 'sqft data'!A:A, 'sqft data'!C:C, "Not Found")</f>
        <v>Not Found</v>
      </c>
      <c r="C508" t="str">
        <f>_xlfn.XLOOKUP(A508, 'bedroom data'!A:A, 'bedroom data'!B:B, "Not Found")</f>
        <v>Studio</v>
      </c>
      <c r="D508">
        <f>_xlfn.XLOOKUP(A508, 'bathroom data'!A:A, 'bathroom data'!B:B, "Not Found")</f>
        <v>1</v>
      </c>
      <c r="E508" t="str">
        <f>_xlfn.XLOOKUP(A508, 'bedroom data'!A:A, 'bedroom data'!C:C, "Not Found")</f>
        <v>Dupont Circle</v>
      </c>
      <c r="F508" t="s">
        <v>20</v>
      </c>
      <c r="G508" t="s">
        <v>285</v>
      </c>
      <c r="H508" t="s">
        <v>755</v>
      </c>
      <c r="I508">
        <v>0</v>
      </c>
      <c r="J508" t="s">
        <v>820</v>
      </c>
      <c r="K508" t="s">
        <v>13</v>
      </c>
      <c r="L508" t="s">
        <v>13</v>
      </c>
    </row>
    <row r="509" spans="1:12" x14ac:dyDescent="0.5">
      <c r="A509" t="s">
        <v>853</v>
      </c>
      <c r="B509" t="str">
        <f>_xlfn.XLOOKUP(A509, 'sqft data'!A:A, 'sqft data'!C:C, "Not Found")</f>
        <v>Not Found</v>
      </c>
      <c r="C509" t="str">
        <f>_xlfn.XLOOKUP(A509, 'bedroom data'!A:A, 'bedroom data'!B:B, "Not Found")</f>
        <v>Studio</v>
      </c>
      <c r="D509">
        <f>_xlfn.XLOOKUP(A509, 'bathroom data'!A:A, 'bathroom data'!B:B, "Not Found")</f>
        <v>1</v>
      </c>
      <c r="E509" t="str">
        <f>_xlfn.XLOOKUP(A509, 'bedroom data'!A:A, 'bedroom data'!C:C, "Not Found")</f>
        <v>Dupont Circle</v>
      </c>
      <c r="F509" t="s">
        <v>20</v>
      </c>
      <c r="G509" t="s">
        <v>383</v>
      </c>
      <c r="H509" t="s">
        <v>208</v>
      </c>
      <c r="I509">
        <v>0</v>
      </c>
      <c r="J509" t="s">
        <v>645</v>
      </c>
      <c r="K509" t="s">
        <v>13</v>
      </c>
      <c r="L509" t="s">
        <v>13</v>
      </c>
    </row>
    <row r="510" spans="1:12" x14ac:dyDescent="0.5">
      <c r="A510" t="s">
        <v>853</v>
      </c>
      <c r="B510" t="str">
        <f>_xlfn.XLOOKUP(A510, 'sqft data'!A:A, 'sqft data'!C:C, "Not Found")</f>
        <v>Not Found</v>
      </c>
      <c r="C510" t="str">
        <f>_xlfn.XLOOKUP(A510, 'bedroom data'!A:A, 'bedroom data'!B:B, "Not Found")</f>
        <v>Studio</v>
      </c>
      <c r="D510">
        <f>_xlfn.XLOOKUP(A510, 'bathroom data'!A:A, 'bathroom data'!B:B, "Not Found")</f>
        <v>1</v>
      </c>
      <c r="E510" t="str">
        <f>_xlfn.XLOOKUP(A510, 'bedroom data'!A:A, 'bedroom data'!C:C, "Not Found")</f>
        <v>Dupont Circle</v>
      </c>
      <c r="F510" t="s">
        <v>20</v>
      </c>
      <c r="G510" t="s">
        <v>378</v>
      </c>
      <c r="H510" t="s">
        <v>26</v>
      </c>
      <c r="I510">
        <v>0</v>
      </c>
      <c r="J510" t="s">
        <v>74</v>
      </c>
      <c r="K510" t="s">
        <v>13</v>
      </c>
      <c r="L510" t="s">
        <v>13</v>
      </c>
    </row>
    <row r="511" spans="1:12" x14ac:dyDescent="0.5">
      <c r="A511" t="s">
        <v>853</v>
      </c>
      <c r="B511" t="str">
        <f>_xlfn.XLOOKUP(A511, 'sqft data'!A:A, 'sqft data'!C:C, "Not Found")</f>
        <v>Not Found</v>
      </c>
      <c r="C511" t="str">
        <f>_xlfn.XLOOKUP(A511, 'bedroom data'!A:A, 'bedroom data'!B:B, "Not Found")</f>
        <v>Studio</v>
      </c>
      <c r="D511">
        <f>_xlfn.XLOOKUP(A511, 'bathroom data'!A:A, 'bathroom data'!B:B, "Not Found")</f>
        <v>1</v>
      </c>
      <c r="E511" t="str">
        <f>_xlfn.XLOOKUP(A511, 'bedroom data'!A:A, 'bedroom data'!C:C, "Not Found")</f>
        <v>Dupont Circle</v>
      </c>
      <c r="F511" t="s">
        <v>20</v>
      </c>
      <c r="G511" t="s">
        <v>111</v>
      </c>
      <c r="H511" t="s">
        <v>379</v>
      </c>
      <c r="I511">
        <v>0</v>
      </c>
      <c r="J511" t="s">
        <v>169</v>
      </c>
      <c r="K511" t="s">
        <v>13</v>
      </c>
      <c r="L511" t="s">
        <v>13</v>
      </c>
    </row>
    <row r="512" spans="1:12" x14ac:dyDescent="0.5">
      <c r="A512" t="s">
        <v>853</v>
      </c>
      <c r="B512" t="str">
        <f>_xlfn.XLOOKUP(A512, 'sqft data'!A:A, 'sqft data'!C:C, "Not Found")</f>
        <v>Not Found</v>
      </c>
      <c r="C512" t="str">
        <f>_xlfn.XLOOKUP(A512, 'bedroom data'!A:A, 'bedroom data'!B:B, "Not Found")</f>
        <v>Studio</v>
      </c>
      <c r="D512">
        <f>_xlfn.XLOOKUP(A512, 'bathroom data'!A:A, 'bathroom data'!B:B, "Not Found")</f>
        <v>1</v>
      </c>
      <c r="E512" t="str">
        <f>_xlfn.XLOOKUP(A512, 'bedroom data'!A:A, 'bedroom data'!C:C, "Not Found")</f>
        <v>Dupont Circle</v>
      </c>
      <c r="F512" t="s">
        <v>20</v>
      </c>
      <c r="G512" t="s">
        <v>744</v>
      </c>
      <c r="H512" t="s">
        <v>537</v>
      </c>
      <c r="I512">
        <v>0</v>
      </c>
      <c r="J512" t="s">
        <v>755</v>
      </c>
      <c r="K512" t="s">
        <v>13</v>
      </c>
      <c r="L512" t="s">
        <v>13</v>
      </c>
    </row>
    <row r="513" spans="1:12" x14ac:dyDescent="0.5">
      <c r="A513" t="s">
        <v>853</v>
      </c>
      <c r="B513" t="str">
        <f>_xlfn.XLOOKUP(A513, 'sqft data'!A:A, 'sqft data'!C:C, "Not Found")</f>
        <v>Not Found</v>
      </c>
      <c r="C513" t="str">
        <f>_xlfn.XLOOKUP(A513, 'bedroom data'!A:A, 'bedroom data'!B:B, "Not Found")</f>
        <v>Studio</v>
      </c>
      <c r="D513">
        <f>_xlfn.XLOOKUP(A513, 'bathroom data'!A:A, 'bathroom data'!B:B, "Not Found")</f>
        <v>1</v>
      </c>
      <c r="E513" t="str">
        <f>_xlfn.XLOOKUP(A513, 'bedroom data'!A:A, 'bedroom data'!C:C, "Not Found")</f>
        <v>Dupont Circle</v>
      </c>
      <c r="F513" t="s">
        <v>20</v>
      </c>
      <c r="G513" t="s">
        <v>103</v>
      </c>
      <c r="H513" t="s">
        <v>281</v>
      </c>
      <c r="I513">
        <v>0</v>
      </c>
      <c r="J513" t="s">
        <v>378</v>
      </c>
      <c r="K513" t="s">
        <v>13</v>
      </c>
      <c r="L513" t="s">
        <v>13</v>
      </c>
    </row>
    <row r="514" spans="1:12" x14ac:dyDescent="0.5">
      <c r="A514" t="s">
        <v>853</v>
      </c>
      <c r="B514" t="str">
        <f>_xlfn.XLOOKUP(A514, 'sqft data'!A:A, 'sqft data'!C:C, "Not Found")</f>
        <v>Not Found</v>
      </c>
      <c r="C514" t="str">
        <f>_xlfn.XLOOKUP(A514, 'bedroom data'!A:A, 'bedroom data'!B:B, "Not Found")</f>
        <v>Studio</v>
      </c>
      <c r="D514">
        <f>_xlfn.XLOOKUP(A514, 'bathroom data'!A:A, 'bathroom data'!B:B, "Not Found")</f>
        <v>1</v>
      </c>
      <c r="E514" t="str">
        <f>_xlfn.XLOOKUP(A514, 'bedroom data'!A:A, 'bedroom data'!C:C, "Not Found")</f>
        <v>Dupont Circle</v>
      </c>
      <c r="F514" t="s">
        <v>20</v>
      </c>
      <c r="G514" t="s">
        <v>767</v>
      </c>
      <c r="H514" t="s">
        <v>432</v>
      </c>
      <c r="I514">
        <v>0</v>
      </c>
      <c r="J514" t="s">
        <v>133</v>
      </c>
      <c r="K514" t="s">
        <v>13</v>
      </c>
      <c r="L514" t="s">
        <v>13</v>
      </c>
    </row>
    <row r="515" spans="1:12" x14ac:dyDescent="0.5">
      <c r="A515" t="s">
        <v>853</v>
      </c>
      <c r="B515" t="str">
        <f>_xlfn.XLOOKUP(A515, 'sqft data'!A:A, 'sqft data'!C:C, "Not Found")</f>
        <v>Not Found</v>
      </c>
      <c r="C515" t="str">
        <f>_xlfn.XLOOKUP(A515, 'bedroom data'!A:A, 'bedroom data'!B:B, "Not Found")</f>
        <v>Studio</v>
      </c>
      <c r="D515">
        <f>_xlfn.XLOOKUP(A515, 'bathroom data'!A:A, 'bathroom data'!B:B, "Not Found")</f>
        <v>1</v>
      </c>
      <c r="E515" t="str">
        <f>_xlfn.XLOOKUP(A515, 'bedroom data'!A:A, 'bedroom data'!C:C, "Not Found")</f>
        <v>Dupont Circle</v>
      </c>
      <c r="F515" t="s">
        <v>20</v>
      </c>
      <c r="G515" t="s">
        <v>114</v>
      </c>
      <c r="H515" t="s">
        <v>226</v>
      </c>
      <c r="I515">
        <v>0</v>
      </c>
      <c r="J515" t="s">
        <v>63</v>
      </c>
      <c r="K515" t="s">
        <v>13</v>
      </c>
      <c r="L515" t="s">
        <v>13</v>
      </c>
    </row>
    <row r="516" spans="1:12" x14ac:dyDescent="0.5">
      <c r="A516" t="s">
        <v>854</v>
      </c>
      <c r="B516" t="str">
        <f>_xlfn.XLOOKUP(A516, 'sqft data'!A:A, 'sqft data'!C:C, "Not Found")</f>
        <v>Not Found</v>
      </c>
      <c r="C516">
        <f>_xlfn.XLOOKUP(A516, 'bedroom data'!A:A, 'bedroom data'!B:B, "Not Found")</f>
        <v>1</v>
      </c>
      <c r="D516">
        <f>_xlfn.XLOOKUP(A516, 'bathroom data'!A:A, 'bathroom data'!B:B, "Not Found")</f>
        <v>1</v>
      </c>
      <c r="E516" t="str">
        <f>_xlfn.XLOOKUP(A516, 'bedroom data'!A:A, 'bedroom data'!C:C, "Not Found")</f>
        <v>Dupont Circle</v>
      </c>
      <c r="F516" t="s">
        <v>20</v>
      </c>
      <c r="G516" t="s">
        <v>855</v>
      </c>
      <c r="H516" t="s">
        <v>291</v>
      </c>
      <c r="I516">
        <v>0</v>
      </c>
      <c r="J516" t="s">
        <v>377</v>
      </c>
      <c r="K516" t="s">
        <v>13</v>
      </c>
      <c r="L516" t="s">
        <v>13</v>
      </c>
    </row>
    <row r="517" spans="1:12" x14ac:dyDescent="0.5">
      <c r="A517" t="s">
        <v>854</v>
      </c>
      <c r="B517" t="str">
        <f>_xlfn.XLOOKUP(A517, 'sqft data'!A:A, 'sqft data'!C:C, "Not Found")</f>
        <v>Not Found</v>
      </c>
      <c r="C517">
        <f>_xlfn.XLOOKUP(A517, 'bedroom data'!A:A, 'bedroom data'!B:B, "Not Found")</f>
        <v>1</v>
      </c>
      <c r="D517">
        <f>_xlfn.XLOOKUP(A517, 'bathroom data'!A:A, 'bathroom data'!B:B, "Not Found")</f>
        <v>1</v>
      </c>
      <c r="E517" t="str">
        <f>_xlfn.XLOOKUP(A517, 'bedroom data'!A:A, 'bedroom data'!C:C, "Not Found")</f>
        <v>Dupont Circle</v>
      </c>
      <c r="F517" t="s">
        <v>20</v>
      </c>
      <c r="G517" t="s">
        <v>55</v>
      </c>
      <c r="H517" t="s">
        <v>190</v>
      </c>
      <c r="I517">
        <v>0</v>
      </c>
      <c r="J517" t="s">
        <v>188</v>
      </c>
      <c r="K517" t="s">
        <v>13</v>
      </c>
      <c r="L517" t="s">
        <v>13</v>
      </c>
    </row>
    <row r="518" spans="1:12" x14ac:dyDescent="0.5">
      <c r="A518" t="s">
        <v>854</v>
      </c>
      <c r="B518" t="str">
        <f>_xlfn.XLOOKUP(A518, 'sqft data'!A:A, 'sqft data'!C:C, "Not Found")</f>
        <v>Not Found</v>
      </c>
      <c r="C518">
        <f>_xlfn.XLOOKUP(A518, 'bedroom data'!A:A, 'bedroom data'!B:B, "Not Found")</f>
        <v>1</v>
      </c>
      <c r="D518">
        <f>_xlfn.XLOOKUP(A518, 'bathroom data'!A:A, 'bathroom data'!B:B, "Not Found")</f>
        <v>1</v>
      </c>
      <c r="E518" t="str">
        <f>_xlfn.XLOOKUP(A518, 'bedroom data'!A:A, 'bedroom data'!C:C, "Not Found")</f>
        <v>Dupont Circle</v>
      </c>
      <c r="F518" t="s">
        <v>20</v>
      </c>
      <c r="G518" t="s">
        <v>345</v>
      </c>
      <c r="H518" t="s">
        <v>252</v>
      </c>
      <c r="I518">
        <v>0</v>
      </c>
      <c r="J518" t="s">
        <v>224</v>
      </c>
      <c r="K518" t="s">
        <v>13</v>
      </c>
      <c r="L518" t="s">
        <v>13</v>
      </c>
    </row>
    <row r="519" spans="1:12" x14ac:dyDescent="0.5">
      <c r="A519" t="s">
        <v>854</v>
      </c>
      <c r="B519" t="str">
        <f>_xlfn.XLOOKUP(A519, 'sqft data'!A:A, 'sqft data'!C:C, "Not Found")</f>
        <v>Not Found</v>
      </c>
      <c r="C519">
        <f>_xlfn.XLOOKUP(A519, 'bedroom data'!A:A, 'bedroom data'!B:B, "Not Found")</f>
        <v>1</v>
      </c>
      <c r="D519">
        <f>_xlfn.XLOOKUP(A519, 'bathroom data'!A:A, 'bathroom data'!B:B, "Not Found")</f>
        <v>1</v>
      </c>
      <c r="E519" t="str">
        <f>_xlfn.XLOOKUP(A519, 'bedroom data'!A:A, 'bedroom data'!C:C, "Not Found")</f>
        <v>Dupont Circle</v>
      </c>
      <c r="F519" t="s">
        <v>20</v>
      </c>
      <c r="G519" t="s">
        <v>63</v>
      </c>
      <c r="H519" t="s">
        <v>381</v>
      </c>
      <c r="I519">
        <v>0</v>
      </c>
      <c r="J519" t="s">
        <v>380</v>
      </c>
      <c r="K519" t="s">
        <v>13</v>
      </c>
      <c r="L519" t="s">
        <v>13</v>
      </c>
    </row>
    <row r="520" spans="1:12" x14ac:dyDescent="0.5">
      <c r="A520" t="s">
        <v>854</v>
      </c>
      <c r="B520" t="str">
        <f>_xlfn.XLOOKUP(A520, 'sqft data'!A:A, 'sqft data'!C:C, "Not Found")</f>
        <v>Not Found</v>
      </c>
      <c r="C520">
        <f>_xlfn.XLOOKUP(A520, 'bedroom data'!A:A, 'bedroom data'!B:B, "Not Found")</f>
        <v>1</v>
      </c>
      <c r="D520">
        <f>_xlfn.XLOOKUP(A520, 'bathroom data'!A:A, 'bathroom data'!B:B, "Not Found")</f>
        <v>1</v>
      </c>
      <c r="E520" t="str">
        <f>_xlfn.XLOOKUP(A520, 'bedroom data'!A:A, 'bedroom data'!C:C, "Not Found")</f>
        <v>Dupont Circle</v>
      </c>
      <c r="F520" t="s">
        <v>20</v>
      </c>
      <c r="G520" t="s">
        <v>101</v>
      </c>
      <c r="H520" t="s">
        <v>504</v>
      </c>
      <c r="I520">
        <v>0</v>
      </c>
      <c r="J520" t="s">
        <v>301</v>
      </c>
      <c r="K520" t="s">
        <v>13</v>
      </c>
      <c r="L520" t="s">
        <v>13</v>
      </c>
    </row>
    <row r="521" spans="1:12" x14ac:dyDescent="0.5">
      <c r="A521" t="s">
        <v>854</v>
      </c>
      <c r="B521" t="str">
        <f>_xlfn.XLOOKUP(A521, 'sqft data'!A:A, 'sqft data'!C:C, "Not Found")</f>
        <v>Not Found</v>
      </c>
      <c r="C521">
        <f>_xlfn.XLOOKUP(A521, 'bedroom data'!A:A, 'bedroom data'!B:B, "Not Found")</f>
        <v>1</v>
      </c>
      <c r="D521">
        <f>_xlfn.XLOOKUP(A521, 'bathroom data'!A:A, 'bathroom data'!B:B, "Not Found")</f>
        <v>1</v>
      </c>
      <c r="E521" t="str">
        <f>_xlfn.XLOOKUP(A521, 'bedroom data'!A:A, 'bedroom data'!C:C, "Not Found")</f>
        <v>Dupont Circle</v>
      </c>
      <c r="F521" t="s">
        <v>20</v>
      </c>
      <c r="G521" t="s">
        <v>40</v>
      </c>
      <c r="H521" t="s">
        <v>17</v>
      </c>
      <c r="I521">
        <v>0</v>
      </c>
      <c r="J521" t="s">
        <v>22</v>
      </c>
      <c r="K521" t="s">
        <v>13</v>
      </c>
      <c r="L521" t="s">
        <v>13</v>
      </c>
    </row>
    <row r="522" spans="1:12" x14ac:dyDescent="0.5">
      <c r="A522" t="s">
        <v>856</v>
      </c>
      <c r="B522" t="str">
        <f>_xlfn.XLOOKUP(A522, 'sqft data'!A:A, 'sqft data'!C:C, "Not Found")</f>
        <v>Not Found</v>
      </c>
      <c r="C522" t="str">
        <f>_xlfn.XLOOKUP(A522, 'bedroom data'!A:A, 'bedroom data'!B:B, "Not Found")</f>
        <v>Studio</v>
      </c>
      <c r="D522">
        <f>_xlfn.XLOOKUP(A522, 'bathroom data'!A:A, 'bathroom data'!B:B, "Not Found")</f>
        <v>1</v>
      </c>
      <c r="E522" t="str">
        <f>_xlfn.XLOOKUP(A522, 'bedroom data'!A:A, 'bedroom data'!C:C, "Not Found")</f>
        <v>Dupont Circle</v>
      </c>
      <c r="F522" t="s">
        <v>20</v>
      </c>
      <c r="G522" t="s">
        <v>602</v>
      </c>
      <c r="H522" t="s">
        <v>286</v>
      </c>
      <c r="I522">
        <v>0</v>
      </c>
      <c r="J522" t="s">
        <v>570</v>
      </c>
      <c r="K522" t="s">
        <v>13</v>
      </c>
      <c r="L522" t="s">
        <v>13</v>
      </c>
    </row>
    <row r="523" spans="1:12" x14ac:dyDescent="0.5">
      <c r="A523" t="s">
        <v>857</v>
      </c>
      <c r="B523">
        <f>_xlfn.XLOOKUP(A523, 'sqft data'!A:A, 'sqft data'!C:C, "Not Found")</f>
        <v>4067</v>
      </c>
      <c r="C523">
        <f>_xlfn.XLOOKUP(A523, 'bedroom data'!A:A, 'bedroom data'!B:B, "Not Found")</f>
        <v>4</v>
      </c>
      <c r="D523">
        <f>_xlfn.XLOOKUP(A523, 'bathroom data'!A:A, 'bathroom data'!B:B, "Not Found")</f>
        <v>3.5</v>
      </c>
      <c r="E523" t="str">
        <f>_xlfn.XLOOKUP(A523, 'bedroom data'!A:A, 'bedroom data'!C:C, "Not Found")</f>
        <v>Mt Pleasant</v>
      </c>
      <c r="F523" t="s">
        <v>483</v>
      </c>
      <c r="G523" t="s">
        <v>208</v>
      </c>
      <c r="H523" t="s">
        <v>45</v>
      </c>
      <c r="I523">
        <v>216</v>
      </c>
      <c r="J523" t="s">
        <v>504</v>
      </c>
      <c r="K523" t="s">
        <v>13</v>
      </c>
      <c r="L523" t="s">
        <v>13</v>
      </c>
    </row>
    <row r="524" spans="1:12" x14ac:dyDescent="0.5">
      <c r="A524" t="s">
        <v>857</v>
      </c>
      <c r="B524">
        <f>_xlfn.XLOOKUP(A524, 'sqft data'!A:A, 'sqft data'!C:C, "Not Found")</f>
        <v>4067</v>
      </c>
      <c r="C524">
        <f>_xlfn.XLOOKUP(A524, 'bedroom data'!A:A, 'bedroom data'!B:B, "Not Found")</f>
        <v>4</v>
      </c>
      <c r="D524">
        <f>_xlfn.XLOOKUP(A524, 'bathroom data'!A:A, 'bathroom data'!B:B, "Not Found")</f>
        <v>3.5</v>
      </c>
      <c r="E524" t="str">
        <f>_xlfn.XLOOKUP(A524, 'bedroom data'!A:A, 'bedroom data'!C:C, "Not Found")</f>
        <v>Mt Pleasant</v>
      </c>
      <c r="F524" t="s">
        <v>483</v>
      </c>
      <c r="G524" t="s">
        <v>858</v>
      </c>
      <c r="H524" t="s">
        <v>219</v>
      </c>
      <c r="I524">
        <v>234</v>
      </c>
      <c r="J524" t="s">
        <v>575</v>
      </c>
      <c r="K524" t="s">
        <v>36</v>
      </c>
      <c r="L524" t="s">
        <v>13</v>
      </c>
    </row>
    <row r="525" spans="1:12" x14ac:dyDescent="0.5">
      <c r="A525" t="s">
        <v>857</v>
      </c>
      <c r="B525">
        <f>_xlfn.XLOOKUP(A525, 'sqft data'!A:A, 'sqft data'!C:C, "Not Found")</f>
        <v>4067</v>
      </c>
      <c r="C525">
        <f>_xlfn.XLOOKUP(A525, 'bedroom data'!A:A, 'bedroom data'!B:B, "Not Found")</f>
        <v>4</v>
      </c>
      <c r="D525">
        <f>_xlfn.XLOOKUP(A525, 'bathroom data'!A:A, 'bathroom data'!B:B, "Not Found")</f>
        <v>3.5</v>
      </c>
      <c r="E525" t="str">
        <f>_xlfn.XLOOKUP(A525, 'bedroom data'!A:A, 'bedroom data'!C:C, "Not Found")</f>
        <v>Mt Pleasant</v>
      </c>
      <c r="F525" t="s">
        <v>483</v>
      </c>
      <c r="G525" t="s">
        <v>859</v>
      </c>
      <c r="H525" t="s">
        <v>107</v>
      </c>
      <c r="I525">
        <v>249</v>
      </c>
      <c r="J525" t="s">
        <v>533</v>
      </c>
      <c r="K525" t="s">
        <v>13</v>
      </c>
      <c r="L525" t="s">
        <v>13</v>
      </c>
    </row>
    <row r="526" spans="1:12" x14ac:dyDescent="0.5">
      <c r="A526" t="s">
        <v>857</v>
      </c>
      <c r="B526">
        <f>_xlfn.XLOOKUP(A526, 'sqft data'!A:A, 'sqft data'!C:C, "Not Found")</f>
        <v>4067</v>
      </c>
      <c r="C526">
        <f>_xlfn.XLOOKUP(A526, 'bedroom data'!A:A, 'bedroom data'!B:B, "Not Found")</f>
        <v>4</v>
      </c>
      <c r="D526">
        <f>_xlfn.XLOOKUP(A526, 'bathroom data'!A:A, 'bathroom data'!B:B, "Not Found")</f>
        <v>3.5</v>
      </c>
      <c r="E526" t="str">
        <f>_xlfn.XLOOKUP(A526, 'bedroom data'!A:A, 'bedroom data'!C:C, "Not Found")</f>
        <v>Mt Pleasant</v>
      </c>
      <c r="F526" t="s">
        <v>483</v>
      </c>
      <c r="G526" t="s">
        <v>695</v>
      </c>
      <c r="H526" t="s">
        <v>443</v>
      </c>
      <c r="I526">
        <v>265</v>
      </c>
      <c r="J526" t="s">
        <v>592</v>
      </c>
      <c r="K526" t="s">
        <v>36</v>
      </c>
      <c r="L526" t="s">
        <v>13</v>
      </c>
    </row>
    <row r="527" spans="1:12" x14ac:dyDescent="0.5">
      <c r="A527" t="s">
        <v>860</v>
      </c>
      <c r="B527">
        <f>_xlfn.XLOOKUP(A527, 'sqft data'!A:A, 'sqft data'!C:C, "Not Found")</f>
        <v>800</v>
      </c>
      <c r="C527">
        <f>_xlfn.XLOOKUP(A527, 'bedroom data'!A:A, 'bedroom data'!B:B, "Not Found")</f>
        <v>1</v>
      </c>
      <c r="D527">
        <f>_xlfn.XLOOKUP(A527, 'bathroom data'!A:A, 'bathroom data'!B:B, "Not Found")</f>
        <v>1</v>
      </c>
      <c r="E527" t="str">
        <f>_xlfn.XLOOKUP(A527, 'bedroom data'!A:A, 'bedroom data'!C:C, "Not Found")</f>
        <v>Dupont Circle</v>
      </c>
      <c r="F527" t="s">
        <v>861</v>
      </c>
      <c r="G527" t="s">
        <v>112</v>
      </c>
      <c r="H527" t="s">
        <v>124</v>
      </c>
      <c r="I527">
        <v>129</v>
      </c>
      <c r="J527" t="s">
        <v>862</v>
      </c>
      <c r="K527" t="s">
        <v>13</v>
      </c>
      <c r="L527" t="s">
        <v>13</v>
      </c>
    </row>
    <row r="528" spans="1:12" x14ac:dyDescent="0.5">
      <c r="A528" t="s">
        <v>863</v>
      </c>
      <c r="B528">
        <f>_xlfn.XLOOKUP(A528, 'sqft data'!A:A, 'sqft data'!C:C, "Not Found")</f>
        <v>960</v>
      </c>
      <c r="C528">
        <f>_xlfn.XLOOKUP(A528, 'bedroom data'!A:A, 'bedroom data'!B:B, "Not Found")</f>
        <v>1</v>
      </c>
      <c r="D528">
        <f>_xlfn.XLOOKUP(A528, 'bathroom data'!A:A, 'bathroom data'!B:B, "Not Found")</f>
        <v>1</v>
      </c>
      <c r="E528" t="str">
        <f>_xlfn.XLOOKUP(A528, 'bedroom data'!A:A, 'bedroom data'!C:C, "Not Found")</f>
        <v>Dupont Circle</v>
      </c>
      <c r="F528" t="s">
        <v>864</v>
      </c>
      <c r="G528" t="s">
        <v>395</v>
      </c>
      <c r="H528" t="s">
        <v>40</v>
      </c>
      <c r="I528">
        <v>148</v>
      </c>
      <c r="J528" t="s">
        <v>33</v>
      </c>
      <c r="K528" t="s">
        <v>13</v>
      </c>
      <c r="L528" t="s">
        <v>13</v>
      </c>
    </row>
    <row r="529" spans="1:12" x14ac:dyDescent="0.5">
      <c r="A529" t="s">
        <v>863</v>
      </c>
      <c r="B529">
        <f>_xlfn.XLOOKUP(A529, 'sqft data'!A:A, 'sqft data'!C:C, "Not Found")</f>
        <v>960</v>
      </c>
      <c r="C529">
        <f>_xlfn.XLOOKUP(A529, 'bedroom data'!A:A, 'bedroom data'!B:B, "Not Found")</f>
        <v>1</v>
      </c>
      <c r="D529">
        <f>_xlfn.XLOOKUP(A529, 'bathroom data'!A:A, 'bathroom data'!B:B, "Not Found")</f>
        <v>1</v>
      </c>
      <c r="E529" t="str">
        <f>_xlfn.XLOOKUP(A529, 'bedroom data'!A:A, 'bedroom data'!C:C, "Not Found")</f>
        <v>Dupont Circle</v>
      </c>
      <c r="F529" t="s">
        <v>864</v>
      </c>
      <c r="G529" t="s">
        <v>295</v>
      </c>
      <c r="H529" t="s">
        <v>144</v>
      </c>
      <c r="I529">
        <v>148</v>
      </c>
      <c r="J529" t="s">
        <v>323</v>
      </c>
      <c r="K529" t="s">
        <v>13</v>
      </c>
      <c r="L529" t="s">
        <v>13</v>
      </c>
    </row>
    <row r="530" spans="1:12" x14ac:dyDescent="0.5">
      <c r="A530" t="s">
        <v>865</v>
      </c>
      <c r="B530" t="str">
        <f>_xlfn.XLOOKUP(A530, 'sqft data'!A:A, 'sqft data'!C:C, "Not Found")</f>
        <v>Not Found</v>
      </c>
      <c r="C530">
        <f>_xlfn.XLOOKUP(A530, 'bedroom data'!A:A, 'bedroom data'!B:B, "Not Found")</f>
        <v>4</v>
      </c>
      <c r="D530">
        <f>_xlfn.XLOOKUP(A530, 'bathroom data'!A:A, 'bathroom data'!B:B, "Not Found")</f>
        <v>2.5</v>
      </c>
      <c r="E530" t="str">
        <f>_xlfn.XLOOKUP(A530, 'bedroom data'!A:A, 'bedroom data'!C:C, "Not Found")</f>
        <v>Dupont Circle</v>
      </c>
      <c r="F530" t="s">
        <v>866</v>
      </c>
      <c r="G530" t="s">
        <v>426</v>
      </c>
      <c r="H530" t="s">
        <v>575</v>
      </c>
      <c r="I530">
        <v>0</v>
      </c>
      <c r="J530" t="s">
        <v>426</v>
      </c>
      <c r="K530" t="s">
        <v>13</v>
      </c>
      <c r="L530" t="s">
        <v>13</v>
      </c>
    </row>
    <row r="531" spans="1:12" x14ac:dyDescent="0.5">
      <c r="A531" t="s">
        <v>865</v>
      </c>
      <c r="B531" t="str">
        <f>_xlfn.XLOOKUP(A531, 'sqft data'!A:A, 'sqft data'!C:C, "Not Found")</f>
        <v>Not Found</v>
      </c>
      <c r="C531">
        <f>_xlfn.XLOOKUP(A531, 'bedroom data'!A:A, 'bedroom data'!B:B, "Not Found")</f>
        <v>4</v>
      </c>
      <c r="D531">
        <f>_xlfn.XLOOKUP(A531, 'bathroom data'!A:A, 'bathroom data'!B:B, "Not Found")</f>
        <v>2.5</v>
      </c>
      <c r="E531" t="str">
        <f>_xlfn.XLOOKUP(A531, 'bedroom data'!A:A, 'bedroom data'!C:C, "Not Found")</f>
        <v>Dupont Circle</v>
      </c>
      <c r="F531" t="s">
        <v>866</v>
      </c>
      <c r="G531" t="s">
        <v>102</v>
      </c>
      <c r="H531" t="s">
        <v>199</v>
      </c>
      <c r="I531">
        <v>313</v>
      </c>
      <c r="J531" t="s">
        <v>65</v>
      </c>
      <c r="K531" t="s">
        <v>13</v>
      </c>
      <c r="L531" t="s">
        <v>13</v>
      </c>
    </row>
    <row r="532" spans="1:12" x14ac:dyDescent="0.5">
      <c r="A532" t="s">
        <v>865</v>
      </c>
      <c r="B532" t="str">
        <f>_xlfn.XLOOKUP(A532, 'sqft data'!A:A, 'sqft data'!C:C, "Not Found")</f>
        <v>Not Found</v>
      </c>
      <c r="C532">
        <f>_xlfn.XLOOKUP(A532, 'bedroom data'!A:A, 'bedroom data'!B:B, "Not Found")</f>
        <v>4</v>
      </c>
      <c r="D532">
        <f>_xlfn.XLOOKUP(A532, 'bathroom data'!A:A, 'bathroom data'!B:B, "Not Found")</f>
        <v>2.5</v>
      </c>
      <c r="E532" t="str">
        <f>_xlfn.XLOOKUP(A532, 'bedroom data'!A:A, 'bedroom data'!C:C, "Not Found")</f>
        <v>Dupont Circle</v>
      </c>
      <c r="F532" t="s">
        <v>866</v>
      </c>
      <c r="G532" t="s">
        <v>272</v>
      </c>
      <c r="H532" t="s">
        <v>867</v>
      </c>
      <c r="I532">
        <v>296.66000000000003</v>
      </c>
      <c r="J532" t="s">
        <v>868</v>
      </c>
      <c r="K532" t="s">
        <v>36</v>
      </c>
      <c r="L532" t="s">
        <v>13</v>
      </c>
    </row>
    <row r="533" spans="1:12" x14ac:dyDescent="0.5">
      <c r="A533" t="s">
        <v>869</v>
      </c>
      <c r="B533" t="str">
        <f>_xlfn.XLOOKUP(A533, 'sqft data'!A:A, 'sqft data'!C:C, "Not Found")</f>
        <v>Not Found</v>
      </c>
      <c r="C533">
        <f>_xlfn.XLOOKUP(A533, 'bedroom data'!A:A, 'bedroom data'!B:B, "Not Found")</f>
        <v>1</v>
      </c>
      <c r="D533">
        <f>_xlfn.XLOOKUP(A533, 'bathroom data'!A:A, 'bathroom data'!B:B, "Not Found")</f>
        <v>1</v>
      </c>
      <c r="E533" t="str">
        <f>_xlfn.XLOOKUP(A533, 'bedroom data'!A:A, 'bedroom data'!C:C, "Not Found")</f>
        <v>Dupont Circle</v>
      </c>
      <c r="F533" t="s">
        <v>870</v>
      </c>
      <c r="G533" t="s">
        <v>871</v>
      </c>
      <c r="H533" t="s">
        <v>716</v>
      </c>
      <c r="I533">
        <v>229.1</v>
      </c>
      <c r="J533" t="s">
        <v>871</v>
      </c>
      <c r="K533" t="s">
        <v>36</v>
      </c>
      <c r="L533" t="s">
        <v>13</v>
      </c>
    </row>
    <row r="534" spans="1:12" x14ac:dyDescent="0.5">
      <c r="A534" t="s">
        <v>869</v>
      </c>
      <c r="B534" t="str">
        <f>_xlfn.XLOOKUP(A534, 'sqft data'!A:A, 'sqft data'!C:C, "Not Found")</f>
        <v>Not Found</v>
      </c>
      <c r="C534">
        <f>_xlfn.XLOOKUP(A534, 'bedroom data'!A:A, 'bedroom data'!B:B, "Not Found")</f>
        <v>1</v>
      </c>
      <c r="D534">
        <f>_xlfn.XLOOKUP(A534, 'bathroom data'!A:A, 'bathroom data'!B:B, "Not Found")</f>
        <v>1</v>
      </c>
      <c r="E534" t="str">
        <f>_xlfn.XLOOKUP(A534, 'bedroom data'!A:A, 'bedroom data'!C:C, "Not Found")</f>
        <v>Dupont Circle</v>
      </c>
      <c r="F534" t="s">
        <v>870</v>
      </c>
      <c r="G534" t="s">
        <v>716</v>
      </c>
      <c r="H534" t="s">
        <v>17</v>
      </c>
      <c r="I534">
        <v>183.33</v>
      </c>
      <c r="J534" t="s">
        <v>378</v>
      </c>
      <c r="K534" t="s">
        <v>36</v>
      </c>
      <c r="L534" t="s">
        <v>13</v>
      </c>
    </row>
    <row r="535" spans="1:12" x14ac:dyDescent="0.5">
      <c r="A535" t="s">
        <v>869</v>
      </c>
      <c r="B535" t="str">
        <f>_xlfn.XLOOKUP(A535, 'sqft data'!A:A, 'sqft data'!C:C, "Not Found")</f>
        <v>Not Found</v>
      </c>
      <c r="C535">
        <f>_xlfn.XLOOKUP(A535, 'bedroom data'!A:A, 'bedroom data'!B:B, "Not Found")</f>
        <v>1</v>
      </c>
      <c r="D535">
        <f>_xlfn.XLOOKUP(A535, 'bathroom data'!A:A, 'bathroom data'!B:B, "Not Found")</f>
        <v>1</v>
      </c>
      <c r="E535" t="str">
        <f>_xlfn.XLOOKUP(A535, 'bedroom data'!A:A, 'bedroom data'!C:C, "Not Found")</f>
        <v>Dupont Circle</v>
      </c>
      <c r="F535" t="s">
        <v>870</v>
      </c>
      <c r="G535" t="s">
        <v>595</v>
      </c>
      <c r="H535" t="s">
        <v>610</v>
      </c>
      <c r="I535">
        <v>185</v>
      </c>
      <c r="J535" t="s">
        <v>172</v>
      </c>
      <c r="K535" t="s">
        <v>36</v>
      </c>
      <c r="L535" t="s">
        <v>36</v>
      </c>
    </row>
    <row r="536" spans="1:12" x14ac:dyDescent="0.5">
      <c r="A536" t="s">
        <v>869</v>
      </c>
      <c r="B536" t="str">
        <f>_xlfn.XLOOKUP(A536, 'sqft data'!A:A, 'sqft data'!C:C, "Not Found")</f>
        <v>Not Found</v>
      </c>
      <c r="C536">
        <f>_xlfn.XLOOKUP(A536, 'bedroom data'!A:A, 'bedroom data'!B:B, "Not Found")</f>
        <v>1</v>
      </c>
      <c r="D536">
        <f>_xlfn.XLOOKUP(A536, 'bathroom data'!A:A, 'bathroom data'!B:B, "Not Found")</f>
        <v>1</v>
      </c>
      <c r="E536" t="str">
        <f>_xlfn.XLOOKUP(A536, 'bedroom data'!A:A, 'bedroom data'!C:C, "Not Found")</f>
        <v>Dupont Circle</v>
      </c>
      <c r="F536" t="s">
        <v>870</v>
      </c>
      <c r="G536" t="s">
        <v>872</v>
      </c>
      <c r="H536" t="s">
        <v>873</v>
      </c>
      <c r="I536">
        <v>155</v>
      </c>
      <c r="J536" t="s">
        <v>762</v>
      </c>
      <c r="K536" t="s">
        <v>13</v>
      </c>
      <c r="L536" t="s">
        <v>13</v>
      </c>
    </row>
    <row r="537" spans="1:12" x14ac:dyDescent="0.5">
      <c r="A537" t="s">
        <v>869</v>
      </c>
      <c r="B537" t="str">
        <f>_xlfn.XLOOKUP(A537, 'sqft data'!A:A, 'sqft data'!C:C, "Not Found")</f>
        <v>Not Found</v>
      </c>
      <c r="C537">
        <f>_xlfn.XLOOKUP(A537, 'bedroom data'!A:A, 'bedroom data'!B:B, "Not Found")</f>
        <v>1</v>
      </c>
      <c r="D537">
        <f>_xlfn.XLOOKUP(A537, 'bathroom data'!A:A, 'bathroom data'!B:B, "Not Found")</f>
        <v>1</v>
      </c>
      <c r="E537" t="str">
        <f>_xlfn.XLOOKUP(A537, 'bedroom data'!A:A, 'bedroom data'!C:C, "Not Found")</f>
        <v>Dupont Circle</v>
      </c>
      <c r="F537" t="s">
        <v>870</v>
      </c>
      <c r="G537" t="s">
        <v>129</v>
      </c>
      <c r="H537" t="s">
        <v>803</v>
      </c>
      <c r="I537">
        <v>155</v>
      </c>
      <c r="J537" t="s">
        <v>874</v>
      </c>
      <c r="K537" t="s">
        <v>13</v>
      </c>
      <c r="L537" t="s">
        <v>13</v>
      </c>
    </row>
    <row r="538" spans="1:12" x14ac:dyDescent="0.5">
      <c r="A538" t="s">
        <v>875</v>
      </c>
      <c r="B538">
        <f>_xlfn.XLOOKUP(A538, 'sqft data'!A:A, 'sqft data'!C:C, "Not Found")</f>
        <v>450</v>
      </c>
      <c r="C538">
        <f>_xlfn.XLOOKUP(A538, 'bedroom data'!A:A, 'bedroom data'!B:B, "Not Found")</f>
        <v>1</v>
      </c>
      <c r="D538">
        <f>_xlfn.XLOOKUP(A538, 'bathroom data'!A:A, 'bathroom data'!B:B, "Not Found")</f>
        <v>1</v>
      </c>
      <c r="E538" t="str">
        <f>_xlfn.XLOOKUP(A538, 'bedroom data'!A:A, 'bedroom data'!C:C, "Not Found")</f>
        <v>Dupont Circle</v>
      </c>
      <c r="F538" t="s">
        <v>242</v>
      </c>
      <c r="G538" t="s">
        <v>110</v>
      </c>
      <c r="H538" t="s">
        <v>18</v>
      </c>
      <c r="I538">
        <v>109</v>
      </c>
      <c r="J538" t="s">
        <v>462</v>
      </c>
      <c r="K538" t="s">
        <v>13</v>
      </c>
      <c r="L538" t="s">
        <v>13</v>
      </c>
    </row>
    <row r="539" spans="1:12" x14ac:dyDescent="0.5">
      <c r="A539" t="s">
        <v>875</v>
      </c>
      <c r="B539">
        <f>_xlfn.XLOOKUP(A539, 'sqft data'!A:A, 'sqft data'!C:C, "Not Found")</f>
        <v>450</v>
      </c>
      <c r="C539">
        <f>_xlfn.XLOOKUP(A539, 'bedroom data'!A:A, 'bedroom data'!B:B, "Not Found")</f>
        <v>1</v>
      </c>
      <c r="D539">
        <f>_xlfn.XLOOKUP(A539, 'bathroom data'!A:A, 'bathroom data'!B:B, "Not Found")</f>
        <v>1</v>
      </c>
      <c r="E539" t="str">
        <f>_xlfn.XLOOKUP(A539, 'bedroom data'!A:A, 'bedroom data'!C:C, "Not Found")</f>
        <v>Dupont Circle</v>
      </c>
      <c r="F539" t="s">
        <v>242</v>
      </c>
      <c r="G539" t="s">
        <v>876</v>
      </c>
      <c r="H539" t="s">
        <v>559</v>
      </c>
      <c r="I539">
        <v>104</v>
      </c>
      <c r="J539" t="s">
        <v>282</v>
      </c>
      <c r="K539" t="s">
        <v>13</v>
      </c>
      <c r="L539" t="s">
        <v>13</v>
      </c>
    </row>
    <row r="540" spans="1:12" x14ac:dyDescent="0.5">
      <c r="A540" t="s">
        <v>875</v>
      </c>
      <c r="B540">
        <f>_xlfn.XLOOKUP(A540, 'sqft data'!A:A, 'sqft data'!C:C, "Not Found")</f>
        <v>450</v>
      </c>
      <c r="C540">
        <f>_xlfn.XLOOKUP(A540, 'bedroom data'!A:A, 'bedroom data'!B:B, "Not Found")</f>
        <v>1</v>
      </c>
      <c r="D540">
        <f>_xlfn.XLOOKUP(A540, 'bathroom data'!A:A, 'bathroom data'!B:B, "Not Found")</f>
        <v>1</v>
      </c>
      <c r="E540" t="str">
        <f>_xlfn.XLOOKUP(A540, 'bedroom data'!A:A, 'bedroom data'!C:C, "Not Found")</f>
        <v>Dupont Circle</v>
      </c>
      <c r="F540" t="s">
        <v>242</v>
      </c>
      <c r="G540" t="s">
        <v>877</v>
      </c>
      <c r="H540" t="s">
        <v>125</v>
      </c>
      <c r="I540">
        <v>104</v>
      </c>
      <c r="J540" t="s">
        <v>878</v>
      </c>
      <c r="K540" t="s">
        <v>13</v>
      </c>
      <c r="L540" t="s">
        <v>13</v>
      </c>
    </row>
    <row r="541" spans="1:12" x14ac:dyDescent="0.5">
      <c r="A541" t="s">
        <v>875</v>
      </c>
      <c r="B541">
        <f>_xlfn.XLOOKUP(A541, 'sqft data'!A:A, 'sqft data'!C:C, "Not Found")</f>
        <v>450</v>
      </c>
      <c r="C541">
        <f>_xlfn.XLOOKUP(A541, 'bedroom data'!A:A, 'bedroom data'!B:B, "Not Found")</f>
        <v>1</v>
      </c>
      <c r="D541">
        <f>_xlfn.XLOOKUP(A541, 'bathroom data'!A:A, 'bathroom data'!B:B, "Not Found")</f>
        <v>1</v>
      </c>
      <c r="E541" t="str">
        <f>_xlfn.XLOOKUP(A541, 'bedroom data'!A:A, 'bedroom data'!C:C, "Not Found")</f>
        <v>Dupont Circle</v>
      </c>
      <c r="F541" t="s">
        <v>242</v>
      </c>
      <c r="G541" t="s">
        <v>806</v>
      </c>
      <c r="H541" t="s">
        <v>175</v>
      </c>
      <c r="I541">
        <v>90.27</v>
      </c>
      <c r="J541" t="s">
        <v>499</v>
      </c>
      <c r="K541" t="s">
        <v>13</v>
      </c>
      <c r="L541" t="s">
        <v>13</v>
      </c>
    </row>
    <row r="542" spans="1:12" x14ac:dyDescent="0.5">
      <c r="A542" t="s">
        <v>875</v>
      </c>
      <c r="B542">
        <f>_xlfn.XLOOKUP(A542, 'sqft data'!A:A, 'sqft data'!C:C, "Not Found")</f>
        <v>450</v>
      </c>
      <c r="C542">
        <f>_xlfn.XLOOKUP(A542, 'bedroom data'!A:A, 'bedroom data'!B:B, "Not Found")</f>
        <v>1</v>
      </c>
      <c r="D542">
        <f>_xlfn.XLOOKUP(A542, 'bathroom data'!A:A, 'bathroom data'!B:B, "Not Found")</f>
        <v>1</v>
      </c>
      <c r="E542" t="str">
        <f>_xlfn.XLOOKUP(A542, 'bedroom data'!A:A, 'bedroom data'!C:C, "Not Found")</f>
        <v>Dupont Circle</v>
      </c>
      <c r="F542" t="s">
        <v>242</v>
      </c>
      <c r="G542" t="s">
        <v>651</v>
      </c>
      <c r="H542" t="s">
        <v>675</v>
      </c>
      <c r="I542">
        <v>113</v>
      </c>
      <c r="J542" t="s">
        <v>642</v>
      </c>
      <c r="K542" t="s">
        <v>13</v>
      </c>
      <c r="L542" t="s">
        <v>13</v>
      </c>
    </row>
    <row r="543" spans="1:12" x14ac:dyDescent="0.5">
      <c r="A543" t="s">
        <v>879</v>
      </c>
      <c r="B543">
        <f>_xlfn.XLOOKUP(A543, 'sqft data'!A:A, 'sqft data'!C:C, "Not Found")</f>
        <v>450</v>
      </c>
      <c r="C543">
        <f>_xlfn.XLOOKUP(A543, 'bedroom data'!A:A, 'bedroom data'!B:B, "Not Found")</f>
        <v>1</v>
      </c>
      <c r="D543">
        <f>_xlfn.XLOOKUP(A543, 'bathroom data'!A:A, 'bathroom data'!B:B, "Not Found")</f>
        <v>1</v>
      </c>
      <c r="E543" t="str">
        <f>_xlfn.XLOOKUP(A543, 'bedroom data'!A:A, 'bedroom data'!C:C, "Not Found")</f>
        <v>Dupont Circle</v>
      </c>
      <c r="F543" t="s">
        <v>242</v>
      </c>
      <c r="G543" t="s">
        <v>880</v>
      </c>
      <c r="H543" t="s">
        <v>63</v>
      </c>
      <c r="I543">
        <v>119</v>
      </c>
      <c r="J543" t="s">
        <v>881</v>
      </c>
      <c r="K543" t="s">
        <v>13</v>
      </c>
      <c r="L543" t="s">
        <v>13</v>
      </c>
    </row>
    <row r="544" spans="1:12" x14ac:dyDescent="0.5">
      <c r="A544" t="s">
        <v>879</v>
      </c>
      <c r="B544">
        <f>_xlfn.XLOOKUP(A544, 'sqft data'!A:A, 'sqft data'!C:C, "Not Found")</f>
        <v>450</v>
      </c>
      <c r="C544">
        <f>_xlfn.XLOOKUP(A544, 'bedroom data'!A:A, 'bedroom data'!B:B, "Not Found")</f>
        <v>1</v>
      </c>
      <c r="D544">
        <f>_xlfn.XLOOKUP(A544, 'bathroom data'!A:A, 'bathroom data'!B:B, "Not Found")</f>
        <v>1</v>
      </c>
      <c r="E544" t="str">
        <f>_xlfn.XLOOKUP(A544, 'bedroom data'!A:A, 'bedroom data'!C:C, "Not Found")</f>
        <v>Dupont Circle</v>
      </c>
      <c r="F544" t="s">
        <v>242</v>
      </c>
      <c r="G544" t="s">
        <v>357</v>
      </c>
      <c r="H544" t="s">
        <v>160</v>
      </c>
      <c r="I544">
        <v>132</v>
      </c>
      <c r="J544" t="s">
        <v>410</v>
      </c>
      <c r="K544" t="s">
        <v>13</v>
      </c>
      <c r="L544" t="s">
        <v>13</v>
      </c>
    </row>
    <row r="545" spans="1:12" x14ac:dyDescent="0.5">
      <c r="A545" t="s">
        <v>879</v>
      </c>
      <c r="B545">
        <f>_xlfn.XLOOKUP(A545, 'sqft data'!A:A, 'sqft data'!C:C, "Not Found")</f>
        <v>450</v>
      </c>
      <c r="C545">
        <f>_xlfn.XLOOKUP(A545, 'bedroom data'!A:A, 'bedroom data'!B:B, "Not Found")</f>
        <v>1</v>
      </c>
      <c r="D545">
        <f>_xlfn.XLOOKUP(A545, 'bathroom data'!A:A, 'bathroom data'!B:B, "Not Found")</f>
        <v>1</v>
      </c>
      <c r="E545" t="str">
        <f>_xlfn.XLOOKUP(A545, 'bedroom data'!A:A, 'bedroom data'!C:C, "Not Found")</f>
        <v>Dupont Circle</v>
      </c>
      <c r="F545" t="s">
        <v>242</v>
      </c>
      <c r="G545" t="s">
        <v>739</v>
      </c>
      <c r="H545" t="s">
        <v>699</v>
      </c>
      <c r="I545">
        <v>132</v>
      </c>
      <c r="J545" t="s">
        <v>113</v>
      </c>
      <c r="K545" t="s">
        <v>13</v>
      </c>
      <c r="L545" t="s">
        <v>13</v>
      </c>
    </row>
    <row r="546" spans="1:12" x14ac:dyDescent="0.5">
      <c r="A546" t="s">
        <v>879</v>
      </c>
      <c r="B546">
        <f>_xlfn.XLOOKUP(A546, 'sqft data'!A:A, 'sqft data'!C:C, "Not Found")</f>
        <v>450</v>
      </c>
      <c r="C546">
        <f>_xlfn.XLOOKUP(A546, 'bedroom data'!A:A, 'bedroom data'!B:B, "Not Found")</f>
        <v>1</v>
      </c>
      <c r="D546">
        <f>_xlfn.XLOOKUP(A546, 'bathroom data'!A:A, 'bathroom data'!B:B, "Not Found")</f>
        <v>1</v>
      </c>
      <c r="E546" t="str">
        <f>_xlfn.XLOOKUP(A546, 'bedroom data'!A:A, 'bedroom data'!C:C, "Not Found")</f>
        <v>Dupont Circle</v>
      </c>
      <c r="F546" t="s">
        <v>242</v>
      </c>
      <c r="G546" t="s">
        <v>201</v>
      </c>
      <c r="H546" t="s">
        <v>140</v>
      </c>
      <c r="I546">
        <v>111.41</v>
      </c>
      <c r="J546" t="s">
        <v>676</v>
      </c>
      <c r="K546" t="s">
        <v>13</v>
      </c>
      <c r="L546" t="s">
        <v>13</v>
      </c>
    </row>
    <row r="547" spans="1:12" x14ac:dyDescent="0.5">
      <c r="A547" t="s">
        <v>879</v>
      </c>
      <c r="B547">
        <f>_xlfn.XLOOKUP(A547, 'sqft data'!A:A, 'sqft data'!C:C, "Not Found")</f>
        <v>450</v>
      </c>
      <c r="C547">
        <f>_xlfn.XLOOKUP(A547, 'bedroom data'!A:A, 'bedroom data'!B:B, "Not Found")</f>
        <v>1</v>
      </c>
      <c r="D547">
        <f>_xlfn.XLOOKUP(A547, 'bathroom data'!A:A, 'bathroom data'!B:B, "Not Found")</f>
        <v>1</v>
      </c>
      <c r="E547" t="str">
        <f>_xlfn.XLOOKUP(A547, 'bedroom data'!A:A, 'bedroom data'!C:C, "Not Found")</f>
        <v>Dupont Circle</v>
      </c>
      <c r="F547" t="s">
        <v>242</v>
      </c>
      <c r="G547" t="s">
        <v>105</v>
      </c>
      <c r="H547" t="s">
        <v>83</v>
      </c>
      <c r="I547">
        <v>114</v>
      </c>
      <c r="J547" t="s">
        <v>96</v>
      </c>
      <c r="K547" t="s">
        <v>13</v>
      </c>
      <c r="L547" t="s">
        <v>13</v>
      </c>
    </row>
    <row r="548" spans="1:12" x14ac:dyDescent="0.5">
      <c r="A548" t="s">
        <v>882</v>
      </c>
      <c r="B548">
        <f>_xlfn.XLOOKUP(A548, 'sqft data'!A:A, 'sqft data'!C:C, "Not Found")</f>
        <v>520</v>
      </c>
      <c r="C548">
        <f>_xlfn.XLOOKUP(A548, 'bedroom data'!A:A, 'bedroom data'!B:B, "Not Found")</f>
        <v>1</v>
      </c>
      <c r="D548">
        <f>_xlfn.XLOOKUP(A548, 'bathroom data'!A:A, 'bathroom data'!B:B, "Not Found")</f>
        <v>1</v>
      </c>
      <c r="E548" t="str">
        <f>_xlfn.XLOOKUP(A548, 'bedroom data'!A:A, 'bedroom data'!C:C, "Not Found")</f>
        <v>Dupont Circle</v>
      </c>
      <c r="F548" t="s">
        <v>242</v>
      </c>
      <c r="G548" t="s">
        <v>191</v>
      </c>
      <c r="H548" t="s">
        <v>282</v>
      </c>
      <c r="I548">
        <v>122</v>
      </c>
      <c r="J548" t="s">
        <v>191</v>
      </c>
      <c r="K548" t="s">
        <v>13</v>
      </c>
      <c r="L548" t="s">
        <v>13</v>
      </c>
    </row>
    <row r="549" spans="1:12" x14ac:dyDescent="0.5">
      <c r="A549" t="s">
        <v>882</v>
      </c>
      <c r="B549">
        <f>_xlfn.XLOOKUP(A549, 'sqft data'!A:A, 'sqft data'!C:C, "Not Found")</f>
        <v>520</v>
      </c>
      <c r="C549">
        <f>_xlfn.XLOOKUP(A549, 'bedroom data'!A:A, 'bedroom data'!B:B, "Not Found")</f>
        <v>1</v>
      </c>
      <c r="D549">
        <f>_xlfn.XLOOKUP(A549, 'bathroom data'!A:A, 'bathroom data'!B:B, "Not Found")</f>
        <v>1</v>
      </c>
      <c r="E549" t="str">
        <f>_xlfn.XLOOKUP(A549, 'bedroom data'!A:A, 'bedroom data'!C:C, "Not Found")</f>
        <v>Dupont Circle</v>
      </c>
      <c r="F549" t="s">
        <v>242</v>
      </c>
      <c r="G549" t="s">
        <v>208</v>
      </c>
      <c r="H549" t="s">
        <v>809</v>
      </c>
      <c r="I549">
        <v>110</v>
      </c>
      <c r="J549" t="s">
        <v>192</v>
      </c>
      <c r="K549" t="s">
        <v>13</v>
      </c>
      <c r="L549" t="s">
        <v>13</v>
      </c>
    </row>
    <row r="550" spans="1:12" x14ac:dyDescent="0.5">
      <c r="A550" t="s">
        <v>882</v>
      </c>
      <c r="B550">
        <f>_xlfn.XLOOKUP(A550, 'sqft data'!A:A, 'sqft data'!C:C, "Not Found")</f>
        <v>520</v>
      </c>
      <c r="C550">
        <f>_xlfn.XLOOKUP(A550, 'bedroom data'!A:A, 'bedroom data'!B:B, "Not Found")</f>
        <v>1</v>
      </c>
      <c r="D550">
        <f>_xlfn.XLOOKUP(A550, 'bathroom data'!A:A, 'bathroom data'!B:B, "Not Found")</f>
        <v>1</v>
      </c>
      <c r="E550" t="str">
        <f>_xlfn.XLOOKUP(A550, 'bedroom data'!A:A, 'bedroom data'!C:C, "Not Found")</f>
        <v>Dupont Circle</v>
      </c>
      <c r="F550" t="s">
        <v>242</v>
      </c>
      <c r="G550" t="s">
        <v>883</v>
      </c>
      <c r="H550" t="s">
        <v>722</v>
      </c>
      <c r="I550">
        <v>110</v>
      </c>
      <c r="J550" t="s">
        <v>597</v>
      </c>
      <c r="K550" t="s">
        <v>13</v>
      </c>
      <c r="L550" t="s">
        <v>13</v>
      </c>
    </row>
    <row r="551" spans="1:12" x14ac:dyDescent="0.5">
      <c r="A551" t="s">
        <v>882</v>
      </c>
      <c r="B551">
        <f>_xlfn.XLOOKUP(A551, 'sqft data'!A:A, 'sqft data'!C:C, "Not Found")</f>
        <v>520</v>
      </c>
      <c r="C551">
        <f>_xlfn.XLOOKUP(A551, 'bedroom data'!A:A, 'bedroom data'!B:B, "Not Found")</f>
        <v>1</v>
      </c>
      <c r="D551">
        <f>_xlfn.XLOOKUP(A551, 'bathroom data'!A:A, 'bathroom data'!B:B, "Not Found")</f>
        <v>1</v>
      </c>
      <c r="E551" t="str">
        <f>_xlfn.XLOOKUP(A551, 'bedroom data'!A:A, 'bedroom data'!C:C, "Not Found")</f>
        <v>Dupont Circle</v>
      </c>
      <c r="F551" t="s">
        <v>242</v>
      </c>
      <c r="G551" t="s">
        <v>599</v>
      </c>
      <c r="H551" t="s">
        <v>884</v>
      </c>
      <c r="I551">
        <v>94</v>
      </c>
      <c r="J551" t="s">
        <v>470</v>
      </c>
      <c r="K551" t="s">
        <v>13</v>
      </c>
      <c r="L551" t="s">
        <v>13</v>
      </c>
    </row>
    <row r="552" spans="1:12" x14ac:dyDescent="0.5">
      <c r="A552" t="s">
        <v>885</v>
      </c>
      <c r="B552">
        <f>_xlfn.XLOOKUP(A552, 'sqft data'!A:A, 'sqft data'!C:C, "Not Found")</f>
        <v>425</v>
      </c>
      <c r="C552">
        <f>_xlfn.XLOOKUP(A552, 'bedroom data'!A:A, 'bedroom data'!B:B, "Not Found")</f>
        <v>1</v>
      </c>
      <c r="D552">
        <f>_xlfn.XLOOKUP(A552, 'bathroom data'!A:A, 'bathroom data'!B:B, "Not Found")</f>
        <v>1</v>
      </c>
      <c r="E552" t="str">
        <f>_xlfn.XLOOKUP(A552, 'bedroom data'!A:A, 'bedroom data'!C:C, "Not Found")</f>
        <v>Dupont Circle</v>
      </c>
      <c r="F552" t="s">
        <v>242</v>
      </c>
      <c r="G552" t="s">
        <v>827</v>
      </c>
      <c r="H552" t="s">
        <v>286</v>
      </c>
      <c r="I552">
        <v>127</v>
      </c>
      <c r="J552" t="s">
        <v>477</v>
      </c>
      <c r="K552" t="s">
        <v>13</v>
      </c>
      <c r="L552" t="s">
        <v>13</v>
      </c>
    </row>
    <row r="553" spans="1:12" x14ac:dyDescent="0.5">
      <c r="A553" t="s">
        <v>885</v>
      </c>
      <c r="B553">
        <f>_xlfn.XLOOKUP(A553, 'sqft data'!A:A, 'sqft data'!C:C, "Not Found")</f>
        <v>425</v>
      </c>
      <c r="C553">
        <f>_xlfn.XLOOKUP(A553, 'bedroom data'!A:A, 'bedroom data'!B:B, "Not Found")</f>
        <v>1</v>
      </c>
      <c r="D553">
        <f>_xlfn.XLOOKUP(A553, 'bathroom data'!A:A, 'bathroom data'!B:B, "Not Found")</f>
        <v>1</v>
      </c>
      <c r="E553" t="str">
        <f>_xlfn.XLOOKUP(A553, 'bedroom data'!A:A, 'bedroom data'!C:C, "Not Found")</f>
        <v>Dupont Circle</v>
      </c>
      <c r="F553" t="s">
        <v>242</v>
      </c>
      <c r="G553" t="s">
        <v>18</v>
      </c>
      <c r="H553" t="s">
        <v>886</v>
      </c>
      <c r="I553">
        <v>123.33</v>
      </c>
      <c r="J553" t="s">
        <v>169</v>
      </c>
      <c r="K553" t="s">
        <v>13</v>
      </c>
      <c r="L553" t="s">
        <v>13</v>
      </c>
    </row>
    <row r="554" spans="1:12" x14ac:dyDescent="0.5">
      <c r="A554" t="s">
        <v>887</v>
      </c>
      <c r="B554">
        <f>_xlfn.XLOOKUP(A554, 'sqft data'!A:A, 'sqft data'!C:C, "Not Found")</f>
        <v>800</v>
      </c>
      <c r="C554">
        <f>_xlfn.XLOOKUP(A554, 'bedroom data'!A:A, 'bedroom data'!B:B, "Not Found")</f>
        <v>1</v>
      </c>
      <c r="D554">
        <f>_xlfn.XLOOKUP(A554, 'bathroom data'!A:A, 'bathroom data'!B:B, "Not Found")</f>
        <v>1.5</v>
      </c>
      <c r="E554" t="str">
        <f>_xlfn.XLOOKUP(A554, 'bedroom data'!A:A, 'bedroom data'!C:C, "Not Found")</f>
        <v>Dupont Circle</v>
      </c>
      <c r="F554" t="s">
        <v>888</v>
      </c>
      <c r="G554" t="s">
        <v>657</v>
      </c>
      <c r="H554" t="s">
        <v>286</v>
      </c>
      <c r="I554">
        <v>0</v>
      </c>
      <c r="J554" t="s">
        <v>657</v>
      </c>
      <c r="K554" t="s">
        <v>13</v>
      </c>
      <c r="L554" t="s">
        <v>13</v>
      </c>
    </row>
    <row r="555" spans="1:12" x14ac:dyDescent="0.5">
      <c r="A555" t="s">
        <v>887</v>
      </c>
      <c r="B555">
        <f>_xlfn.XLOOKUP(A555, 'sqft data'!A:A, 'sqft data'!C:C, "Not Found")</f>
        <v>800</v>
      </c>
      <c r="C555">
        <f>_xlfn.XLOOKUP(A555, 'bedroom data'!A:A, 'bedroom data'!B:B, "Not Found")</f>
        <v>1</v>
      </c>
      <c r="D555">
        <f>_xlfn.XLOOKUP(A555, 'bathroom data'!A:A, 'bathroom data'!B:B, "Not Found")</f>
        <v>1.5</v>
      </c>
      <c r="E555" t="str">
        <f>_xlfn.XLOOKUP(A555, 'bedroom data'!A:A, 'bedroom data'!C:C, "Not Found")</f>
        <v>Dupont Circle</v>
      </c>
      <c r="F555" t="s">
        <v>888</v>
      </c>
      <c r="G555" t="s">
        <v>10</v>
      </c>
      <c r="H555" t="s">
        <v>432</v>
      </c>
      <c r="I555">
        <v>142</v>
      </c>
      <c r="J555" t="s">
        <v>369</v>
      </c>
      <c r="K555" t="s">
        <v>13</v>
      </c>
      <c r="L555" t="s">
        <v>13</v>
      </c>
    </row>
    <row r="556" spans="1:12" x14ac:dyDescent="0.5">
      <c r="A556" t="s">
        <v>887</v>
      </c>
      <c r="B556">
        <f>_xlfn.XLOOKUP(A556, 'sqft data'!A:A, 'sqft data'!C:C, "Not Found")</f>
        <v>800</v>
      </c>
      <c r="C556">
        <f>_xlfn.XLOOKUP(A556, 'bedroom data'!A:A, 'bedroom data'!B:B, "Not Found")</f>
        <v>1</v>
      </c>
      <c r="D556">
        <f>_xlfn.XLOOKUP(A556, 'bathroom data'!A:A, 'bathroom data'!B:B, "Not Found")</f>
        <v>1.5</v>
      </c>
      <c r="E556" t="str">
        <f>_xlfn.XLOOKUP(A556, 'bedroom data'!A:A, 'bedroom data'!C:C, "Not Found")</f>
        <v>Dupont Circle</v>
      </c>
      <c r="F556" t="s">
        <v>888</v>
      </c>
      <c r="G556" t="s">
        <v>533</v>
      </c>
      <c r="H556" t="s">
        <v>889</v>
      </c>
      <c r="I556">
        <v>0</v>
      </c>
      <c r="J556" t="s">
        <v>533</v>
      </c>
      <c r="K556" t="s">
        <v>13</v>
      </c>
      <c r="L556" t="s">
        <v>13</v>
      </c>
    </row>
    <row r="557" spans="1:12" x14ac:dyDescent="0.5">
      <c r="A557" t="s">
        <v>890</v>
      </c>
      <c r="B557">
        <f>_xlfn.XLOOKUP(A557, 'sqft data'!A:A, 'sqft data'!C:C, "Not Found")</f>
        <v>2065</v>
      </c>
      <c r="C557">
        <f>_xlfn.XLOOKUP(A557, 'bedroom data'!A:A, 'bedroom data'!B:B, "Not Found")</f>
        <v>2</v>
      </c>
      <c r="D557">
        <f>_xlfn.XLOOKUP(A557, 'bathroom data'!A:A, 'bathroom data'!B:B, "Not Found")</f>
        <v>2</v>
      </c>
      <c r="E557" t="str">
        <f>_xlfn.XLOOKUP(A557, 'bedroom data'!A:A, 'bedroom data'!C:C, "Not Found")</f>
        <v>Dupont Circle</v>
      </c>
      <c r="F557" t="s">
        <v>888</v>
      </c>
      <c r="G557" t="s">
        <v>891</v>
      </c>
      <c r="H557" t="s">
        <v>301</v>
      </c>
      <c r="I557">
        <v>0</v>
      </c>
      <c r="J557" t="s">
        <v>891</v>
      </c>
      <c r="K557" t="s">
        <v>13</v>
      </c>
      <c r="L557" t="s">
        <v>13</v>
      </c>
    </row>
    <row r="558" spans="1:12" x14ac:dyDescent="0.5">
      <c r="A558" t="s">
        <v>890</v>
      </c>
      <c r="B558">
        <f>_xlfn.XLOOKUP(A558, 'sqft data'!A:A, 'sqft data'!C:C, "Not Found")</f>
        <v>2065</v>
      </c>
      <c r="C558">
        <f>_xlfn.XLOOKUP(A558, 'bedroom data'!A:A, 'bedroom data'!B:B, "Not Found")</f>
        <v>2</v>
      </c>
      <c r="D558">
        <f>_xlfn.XLOOKUP(A558, 'bathroom data'!A:A, 'bathroom data'!B:B, "Not Found")</f>
        <v>2</v>
      </c>
      <c r="E558" t="str">
        <f>_xlfn.XLOOKUP(A558, 'bedroom data'!A:A, 'bedroom data'!C:C, "Not Found")</f>
        <v>Dupont Circle</v>
      </c>
      <c r="F558" t="s">
        <v>888</v>
      </c>
      <c r="G558" t="s">
        <v>745</v>
      </c>
      <c r="H558" t="s">
        <v>562</v>
      </c>
      <c r="I558">
        <v>265</v>
      </c>
      <c r="J558" t="s">
        <v>745</v>
      </c>
      <c r="K558" t="s">
        <v>13</v>
      </c>
      <c r="L558" t="s">
        <v>13</v>
      </c>
    </row>
    <row r="559" spans="1:12" x14ac:dyDescent="0.5">
      <c r="A559" t="s">
        <v>890</v>
      </c>
      <c r="B559">
        <f>_xlfn.XLOOKUP(A559, 'sqft data'!A:A, 'sqft data'!C:C, "Not Found")</f>
        <v>2065</v>
      </c>
      <c r="C559">
        <f>_xlfn.XLOOKUP(A559, 'bedroom data'!A:A, 'bedroom data'!B:B, "Not Found")</f>
        <v>2</v>
      </c>
      <c r="D559">
        <f>_xlfn.XLOOKUP(A559, 'bathroom data'!A:A, 'bathroom data'!B:B, "Not Found")</f>
        <v>2</v>
      </c>
      <c r="E559" t="str">
        <f>_xlfn.XLOOKUP(A559, 'bedroom data'!A:A, 'bedroom data'!C:C, "Not Found")</f>
        <v>Dupont Circle</v>
      </c>
      <c r="F559" t="s">
        <v>888</v>
      </c>
      <c r="G559" t="s">
        <v>874</v>
      </c>
      <c r="H559" t="s">
        <v>220</v>
      </c>
      <c r="I559">
        <v>0</v>
      </c>
      <c r="J559" t="s">
        <v>874</v>
      </c>
      <c r="K559" t="s">
        <v>13</v>
      </c>
      <c r="L559" t="s">
        <v>13</v>
      </c>
    </row>
    <row r="560" spans="1:12" x14ac:dyDescent="0.5">
      <c r="A560" t="s">
        <v>892</v>
      </c>
      <c r="B560">
        <f>_xlfn.XLOOKUP(A560, 'sqft data'!A:A, 'sqft data'!C:C, "Not Found")</f>
        <v>1777</v>
      </c>
      <c r="C560">
        <f>_xlfn.XLOOKUP(A560, 'bedroom data'!A:A, 'bedroom data'!B:B, "Not Found")</f>
        <v>2</v>
      </c>
      <c r="D560">
        <f>_xlfn.XLOOKUP(A560, 'bathroom data'!A:A, 'bathroom data'!B:B, "Not Found")</f>
        <v>2.5</v>
      </c>
      <c r="E560" t="str">
        <f>_xlfn.XLOOKUP(A560, 'bedroom data'!A:A, 'bedroom data'!C:C, "Not Found")</f>
        <v>Dupont Circle</v>
      </c>
      <c r="F560" t="s">
        <v>888</v>
      </c>
      <c r="G560" t="s">
        <v>432</v>
      </c>
      <c r="H560" t="s">
        <v>571</v>
      </c>
      <c r="I560">
        <v>360</v>
      </c>
      <c r="J560" t="s">
        <v>893</v>
      </c>
      <c r="K560" t="s">
        <v>13</v>
      </c>
      <c r="L560" t="s">
        <v>13</v>
      </c>
    </row>
    <row r="561" spans="1:12" x14ac:dyDescent="0.5">
      <c r="A561" t="s">
        <v>892</v>
      </c>
      <c r="B561">
        <f>_xlfn.XLOOKUP(A561, 'sqft data'!A:A, 'sqft data'!C:C, "Not Found")</f>
        <v>1777</v>
      </c>
      <c r="C561">
        <f>_xlfn.XLOOKUP(A561, 'bedroom data'!A:A, 'bedroom data'!B:B, "Not Found")</f>
        <v>2</v>
      </c>
      <c r="D561">
        <f>_xlfn.XLOOKUP(A561, 'bathroom data'!A:A, 'bathroom data'!B:B, "Not Found")</f>
        <v>2.5</v>
      </c>
      <c r="E561" t="str">
        <f>_xlfn.XLOOKUP(A561, 'bedroom data'!A:A, 'bedroom data'!C:C, "Not Found")</f>
        <v>Dupont Circle</v>
      </c>
      <c r="F561" t="s">
        <v>888</v>
      </c>
      <c r="G561" t="s">
        <v>421</v>
      </c>
      <c r="H561" t="s">
        <v>419</v>
      </c>
      <c r="I561">
        <v>0</v>
      </c>
      <c r="J561" t="s">
        <v>421</v>
      </c>
      <c r="K561" t="s">
        <v>13</v>
      </c>
      <c r="L561" t="s">
        <v>13</v>
      </c>
    </row>
    <row r="562" spans="1:12" x14ac:dyDescent="0.5">
      <c r="A562" t="s">
        <v>892</v>
      </c>
      <c r="B562">
        <f>_xlfn.XLOOKUP(A562, 'sqft data'!A:A, 'sqft data'!C:C, "Not Found")</f>
        <v>1777</v>
      </c>
      <c r="C562">
        <f>_xlfn.XLOOKUP(A562, 'bedroom data'!A:A, 'bedroom data'!B:B, "Not Found")</f>
        <v>2</v>
      </c>
      <c r="D562">
        <f>_xlfn.XLOOKUP(A562, 'bathroom data'!A:A, 'bathroom data'!B:B, "Not Found")</f>
        <v>2.5</v>
      </c>
      <c r="E562" t="str">
        <f>_xlfn.XLOOKUP(A562, 'bedroom data'!A:A, 'bedroom data'!C:C, "Not Found")</f>
        <v>Dupont Circle</v>
      </c>
      <c r="F562" t="s">
        <v>888</v>
      </c>
      <c r="G562" t="s">
        <v>119</v>
      </c>
      <c r="H562" t="s">
        <v>220</v>
      </c>
      <c r="I562">
        <v>0</v>
      </c>
      <c r="J562" t="s">
        <v>540</v>
      </c>
      <c r="K562" t="s">
        <v>13</v>
      </c>
      <c r="L562" t="s">
        <v>13</v>
      </c>
    </row>
    <row r="563" spans="1:12" x14ac:dyDescent="0.5">
      <c r="A563" t="s">
        <v>894</v>
      </c>
      <c r="B563">
        <f>_xlfn.XLOOKUP(A563, 'sqft data'!A:A, 'sqft data'!C:C, "Not Found")</f>
        <v>800</v>
      </c>
      <c r="C563" t="str">
        <f>_xlfn.XLOOKUP(A563, 'bedroom data'!A:A, 'bedroom data'!B:B, "Not Found")</f>
        <v>Studio</v>
      </c>
      <c r="D563">
        <f>_xlfn.XLOOKUP(A563, 'bathroom data'!A:A, 'bathroom data'!B:B, "Not Found")</f>
        <v>1</v>
      </c>
      <c r="E563" t="str">
        <f>_xlfn.XLOOKUP(A563, 'bedroom data'!A:A, 'bedroom data'!C:C, "Not Found")</f>
        <v>Dupont Circle</v>
      </c>
      <c r="F563" t="s">
        <v>888</v>
      </c>
      <c r="G563" t="s">
        <v>848</v>
      </c>
      <c r="H563" t="s">
        <v>172</v>
      </c>
      <c r="I563">
        <v>0</v>
      </c>
      <c r="J563" t="s">
        <v>820</v>
      </c>
      <c r="K563" t="s">
        <v>13</v>
      </c>
      <c r="L563" t="s">
        <v>13</v>
      </c>
    </row>
    <row r="564" spans="1:12" x14ac:dyDescent="0.5">
      <c r="A564" t="s">
        <v>894</v>
      </c>
      <c r="B564">
        <f>_xlfn.XLOOKUP(A564, 'sqft data'!A:A, 'sqft data'!C:C, "Not Found")</f>
        <v>800</v>
      </c>
      <c r="C564" t="str">
        <f>_xlfn.XLOOKUP(A564, 'bedroom data'!A:A, 'bedroom data'!B:B, "Not Found")</f>
        <v>Studio</v>
      </c>
      <c r="D564">
        <f>_xlfn.XLOOKUP(A564, 'bathroom data'!A:A, 'bathroom data'!B:B, "Not Found")</f>
        <v>1</v>
      </c>
      <c r="E564" t="str">
        <f>_xlfn.XLOOKUP(A564, 'bedroom data'!A:A, 'bedroom data'!C:C, "Not Found")</f>
        <v>Dupont Circle</v>
      </c>
      <c r="F564" t="s">
        <v>888</v>
      </c>
      <c r="G564" t="s">
        <v>785</v>
      </c>
      <c r="H564" t="s">
        <v>672</v>
      </c>
      <c r="I564">
        <v>128</v>
      </c>
      <c r="J564" t="s">
        <v>785</v>
      </c>
      <c r="K564" t="s">
        <v>13</v>
      </c>
      <c r="L564" t="s">
        <v>13</v>
      </c>
    </row>
    <row r="565" spans="1:12" x14ac:dyDescent="0.5">
      <c r="A565" t="s">
        <v>894</v>
      </c>
      <c r="B565">
        <f>_xlfn.XLOOKUP(A565, 'sqft data'!A:A, 'sqft data'!C:C, "Not Found")</f>
        <v>800</v>
      </c>
      <c r="C565" t="str">
        <f>_xlfn.XLOOKUP(A565, 'bedroom data'!A:A, 'bedroom data'!B:B, "Not Found")</f>
        <v>Studio</v>
      </c>
      <c r="D565">
        <f>_xlfn.XLOOKUP(A565, 'bathroom data'!A:A, 'bathroom data'!B:B, "Not Found")</f>
        <v>1</v>
      </c>
      <c r="E565" t="str">
        <f>_xlfn.XLOOKUP(A565, 'bedroom data'!A:A, 'bedroom data'!C:C, "Not Found")</f>
        <v>Dupont Circle</v>
      </c>
      <c r="F565" t="s">
        <v>888</v>
      </c>
      <c r="G565" t="s">
        <v>444</v>
      </c>
      <c r="H565" t="s">
        <v>895</v>
      </c>
      <c r="I565">
        <v>0</v>
      </c>
      <c r="J565" t="s">
        <v>810</v>
      </c>
      <c r="K565" t="s">
        <v>13</v>
      </c>
      <c r="L565" t="s">
        <v>13</v>
      </c>
    </row>
    <row r="566" spans="1:12" x14ac:dyDescent="0.5">
      <c r="A566" t="s">
        <v>894</v>
      </c>
      <c r="B566">
        <f>_xlfn.XLOOKUP(A566, 'sqft data'!A:A, 'sqft data'!C:C, "Not Found")</f>
        <v>800</v>
      </c>
      <c r="C566" t="str">
        <f>_xlfn.XLOOKUP(A566, 'bedroom data'!A:A, 'bedroom data'!B:B, "Not Found")</f>
        <v>Studio</v>
      </c>
      <c r="D566">
        <f>_xlfn.XLOOKUP(A566, 'bathroom data'!A:A, 'bathroom data'!B:B, "Not Found")</f>
        <v>1</v>
      </c>
      <c r="E566" t="str">
        <f>_xlfn.XLOOKUP(A566, 'bedroom data'!A:A, 'bedroom data'!C:C, "Not Found")</f>
        <v>Dupont Circle</v>
      </c>
      <c r="F566" t="s">
        <v>888</v>
      </c>
      <c r="G566" t="s">
        <v>701</v>
      </c>
      <c r="H566" t="s">
        <v>896</v>
      </c>
      <c r="I566">
        <v>0</v>
      </c>
      <c r="J566" t="s">
        <v>701</v>
      </c>
      <c r="K566" t="s">
        <v>13</v>
      </c>
      <c r="L566" t="s">
        <v>13</v>
      </c>
    </row>
    <row r="567" spans="1:12" x14ac:dyDescent="0.5">
      <c r="A567" t="s">
        <v>897</v>
      </c>
      <c r="B567">
        <f>_xlfn.XLOOKUP(A567, 'sqft data'!A:A, 'sqft data'!C:C, "Not Found")</f>
        <v>1100</v>
      </c>
      <c r="C567">
        <f>_xlfn.XLOOKUP(A567, 'bedroom data'!A:A, 'bedroom data'!B:B, "Not Found")</f>
        <v>2</v>
      </c>
      <c r="D567">
        <f>_xlfn.XLOOKUP(A567, 'bathroom data'!A:A, 'bathroom data'!B:B, "Not Found")</f>
        <v>2</v>
      </c>
      <c r="E567" t="str">
        <f>_xlfn.XLOOKUP(A567, 'bedroom data'!A:A, 'bedroom data'!C:C, "Not Found")</f>
        <v>Dupont Circle</v>
      </c>
      <c r="F567" t="s">
        <v>864</v>
      </c>
      <c r="G567" t="s">
        <v>898</v>
      </c>
      <c r="H567" t="s">
        <v>300</v>
      </c>
      <c r="I567">
        <v>155</v>
      </c>
      <c r="J567" t="s">
        <v>766</v>
      </c>
      <c r="K567" t="s">
        <v>13</v>
      </c>
      <c r="L567" t="s">
        <v>13</v>
      </c>
    </row>
    <row r="568" spans="1:12" x14ac:dyDescent="0.5">
      <c r="A568" t="s">
        <v>897</v>
      </c>
      <c r="B568">
        <f>_xlfn.XLOOKUP(A568, 'sqft data'!A:A, 'sqft data'!C:C, "Not Found")</f>
        <v>1100</v>
      </c>
      <c r="C568">
        <f>_xlfn.XLOOKUP(A568, 'bedroom data'!A:A, 'bedroom data'!B:B, "Not Found")</f>
        <v>2</v>
      </c>
      <c r="D568">
        <f>_xlfn.XLOOKUP(A568, 'bathroom data'!A:A, 'bathroom data'!B:B, "Not Found")</f>
        <v>2</v>
      </c>
      <c r="E568" t="str">
        <f>_xlfn.XLOOKUP(A568, 'bedroom data'!A:A, 'bedroom data'!C:C, "Not Found")</f>
        <v>Dupont Circle</v>
      </c>
      <c r="F568" t="s">
        <v>864</v>
      </c>
      <c r="G568" t="s">
        <v>298</v>
      </c>
      <c r="H568" t="s">
        <v>159</v>
      </c>
      <c r="I568">
        <v>135</v>
      </c>
      <c r="J568" t="s">
        <v>716</v>
      </c>
      <c r="K568" t="s">
        <v>36</v>
      </c>
      <c r="L568" t="s">
        <v>36</v>
      </c>
    </row>
    <row r="569" spans="1:12" x14ac:dyDescent="0.5">
      <c r="A569" t="s">
        <v>897</v>
      </c>
      <c r="B569">
        <f>_xlfn.XLOOKUP(A569, 'sqft data'!A:A, 'sqft data'!C:C, "Not Found")</f>
        <v>1100</v>
      </c>
      <c r="C569">
        <f>_xlfn.XLOOKUP(A569, 'bedroom data'!A:A, 'bedroom data'!B:B, "Not Found")</f>
        <v>2</v>
      </c>
      <c r="D569">
        <f>_xlfn.XLOOKUP(A569, 'bathroom data'!A:A, 'bathroom data'!B:B, "Not Found")</f>
        <v>2</v>
      </c>
      <c r="E569" t="str">
        <f>_xlfn.XLOOKUP(A569, 'bedroom data'!A:A, 'bedroom data'!C:C, "Not Found")</f>
        <v>Dupont Circle</v>
      </c>
      <c r="F569" t="s">
        <v>864</v>
      </c>
      <c r="G569" t="s">
        <v>634</v>
      </c>
      <c r="H569" t="s">
        <v>899</v>
      </c>
      <c r="I569">
        <v>145</v>
      </c>
      <c r="J569" t="s">
        <v>634</v>
      </c>
      <c r="K569" t="s">
        <v>13</v>
      </c>
      <c r="L569" t="s">
        <v>13</v>
      </c>
    </row>
    <row r="570" spans="1:12" x14ac:dyDescent="0.5">
      <c r="A570" t="s">
        <v>897</v>
      </c>
      <c r="B570">
        <f>_xlfn.XLOOKUP(A570, 'sqft data'!A:A, 'sqft data'!C:C, "Not Found")</f>
        <v>1100</v>
      </c>
      <c r="C570">
        <f>_xlfn.XLOOKUP(A570, 'bedroom data'!A:A, 'bedroom data'!B:B, "Not Found")</f>
        <v>2</v>
      </c>
      <c r="D570">
        <f>_xlfn.XLOOKUP(A570, 'bathroom data'!A:A, 'bathroom data'!B:B, "Not Found")</f>
        <v>2</v>
      </c>
      <c r="E570" t="str">
        <f>_xlfn.XLOOKUP(A570, 'bedroom data'!A:A, 'bedroom data'!C:C, "Not Found")</f>
        <v>Dupont Circle</v>
      </c>
      <c r="F570" t="s">
        <v>864</v>
      </c>
      <c r="G570" t="s">
        <v>471</v>
      </c>
      <c r="H570" t="s">
        <v>431</v>
      </c>
      <c r="I570">
        <v>145</v>
      </c>
      <c r="J570" t="s">
        <v>599</v>
      </c>
      <c r="K570" t="s">
        <v>13</v>
      </c>
      <c r="L570" t="s">
        <v>13</v>
      </c>
    </row>
    <row r="571" spans="1:12" x14ac:dyDescent="0.5">
      <c r="A571" t="s">
        <v>900</v>
      </c>
      <c r="B571">
        <f>_xlfn.XLOOKUP(A571, 'sqft data'!A:A, 'sqft data'!C:C, "Not Found")</f>
        <v>400</v>
      </c>
      <c r="C571">
        <f>_xlfn.XLOOKUP(A571, 'bedroom data'!A:A, 'bedroom data'!B:B, "Not Found")</f>
        <v>1</v>
      </c>
      <c r="D571">
        <f>_xlfn.XLOOKUP(A571, 'bathroom data'!A:A, 'bathroom data'!B:B, "Not Found")</f>
        <v>1</v>
      </c>
      <c r="E571" t="str">
        <f>_xlfn.XLOOKUP(A571, 'bedroom data'!A:A, 'bedroom data'!C:C, "Not Found")</f>
        <v>Dupont Circle</v>
      </c>
      <c r="F571" t="s">
        <v>43</v>
      </c>
      <c r="G571" t="s">
        <v>901</v>
      </c>
      <c r="H571" t="s">
        <v>378</v>
      </c>
      <c r="I571">
        <v>107</v>
      </c>
      <c r="J571" t="s">
        <v>801</v>
      </c>
      <c r="K571" t="s">
        <v>13</v>
      </c>
      <c r="L571" t="s">
        <v>13</v>
      </c>
    </row>
    <row r="572" spans="1:12" x14ac:dyDescent="0.5">
      <c r="A572" t="s">
        <v>900</v>
      </c>
      <c r="B572">
        <f>_xlfn.XLOOKUP(A572, 'sqft data'!A:A, 'sqft data'!C:C, "Not Found")</f>
        <v>400</v>
      </c>
      <c r="C572">
        <f>_xlfn.XLOOKUP(A572, 'bedroom data'!A:A, 'bedroom data'!B:B, "Not Found")</f>
        <v>1</v>
      </c>
      <c r="D572">
        <f>_xlfn.XLOOKUP(A572, 'bathroom data'!A:A, 'bathroom data'!B:B, "Not Found")</f>
        <v>1</v>
      </c>
      <c r="E572" t="str">
        <f>_xlfn.XLOOKUP(A572, 'bedroom data'!A:A, 'bedroom data'!C:C, "Not Found")</f>
        <v>Dupont Circle</v>
      </c>
      <c r="F572" t="s">
        <v>43</v>
      </c>
      <c r="G572" t="s">
        <v>716</v>
      </c>
      <c r="H572" t="s">
        <v>298</v>
      </c>
      <c r="I572">
        <v>107</v>
      </c>
      <c r="J572" t="s">
        <v>755</v>
      </c>
      <c r="K572" t="s">
        <v>13</v>
      </c>
      <c r="L572" t="s">
        <v>36</v>
      </c>
    </row>
    <row r="573" spans="1:12" x14ac:dyDescent="0.5">
      <c r="A573" t="s">
        <v>900</v>
      </c>
      <c r="B573">
        <f>_xlfn.XLOOKUP(A573, 'sqft data'!A:A, 'sqft data'!C:C, "Not Found")</f>
        <v>400</v>
      </c>
      <c r="C573">
        <f>_xlfn.XLOOKUP(A573, 'bedroom data'!A:A, 'bedroom data'!B:B, "Not Found")</f>
        <v>1</v>
      </c>
      <c r="D573">
        <f>_xlfn.XLOOKUP(A573, 'bathroom data'!A:A, 'bathroom data'!B:B, "Not Found")</f>
        <v>1</v>
      </c>
      <c r="E573" t="str">
        <f>_xlfn.XLOOKUP(A573, 'bedroom data'!A:A, 'bedroom data'!C:C, "Not Found")</f>
        <v>Dupont Circle</v>
      </c>
      <c r="F573" t="s">
        <v>43</v>
      </c>
      <c r="G573" t="s">
        <v>294</v>
      </c>
      <c r="H573" t="s">
        <v>159</v>
      </c>
      <c r="I573">
        <v>107</v>
      </c>
      <c r="J573" t="s">
        <v>346</v>
      </c>
      <c r="K573" t="s">
        <v>13</v>
      </c>
      <c r="L573" t="s">
        <v>13</v>
      </c>
    </row>
    <row r="574" spans="1:12" x14ac:dyDescent="0.5">
      <c r="A574" t="s">
        <v>900</v>
      </c>
      <c r="B574">
        <f>_xlfn.XLOOKUP(A574, 'sqft data'!A:A, 'sqft data'!C:C, "Not Found")</f>
        <v>400</v>
      </c>
      <c r="C574">
        <f>_xlfn.XLOOKUP(A574, 'bedroom data'!A:A, 'bedroom data'!B:B, "Not Found")</f>
        <v>1</v>
      </c>
      <c r="D574">
        <f>_xlfn.XLOOKUP(A574, 'bathroom data'!A:A, 'bathroom data'!B:B, "Not Found")</f>
        <v>1</v>
      </c>
      <c r="E574" t="str">
        <f>_xlfn.XLOOKUP(A574, 'bedroom data'!A:A, 'bedroom data'!C:C, "Not Found")</f>
        <v>Dupont Circle</v>
      </c>
      <c r="F574" t="s">
        <v>43</v>
      </c>
      <c r="G574" t="s">
        <v>403</v>
      </c>
      <c r="H574" t="s">
        <v>711</v>
      </c>
      <c r="I574">
        <v>67</v>
      </c>
      <c r="J574" t="s">
        <v>577</v>
      </c>
      <c r="K574" t="s">
        <v>13</v>
      </c>
      <c r="L574" t="s">
        <v>13</v>
      </c>
    </row>
    <row r="575" spans="1:12" x14ac:dyDescent="0.5">
      <c r="A575" t="s">
        <v>900</v>
      </c>
      <c r="B575">
        <f>_xlfn.XLOOKUP(A575, 'sqft data'!A:A, 'sqft data'!C:C, "Not Found")</f>
        <v>400</v>
      </c>
      <c r="C575">
        <f>_xlfn.XLOOKUP(A575, 'bedroom data'!A:A, 'bedroom data'!B:B, "Not Found")</f>
        <v>1</v>
      </c>
      <c r="D575">
        <f>_xlfn.XLOOKUP(A575, 'bathroom data'!A:A, 'bathroom data'!B:B, "Not Found")</f>
        <v>1</v>
      </c>
      <c r="E575" t="str">
        <f>_xlfn.XLOOKUP(A575, 'bedroom data'!A:A, 'bedroom data'!C:C, "Not Found")</f>
        <v>Dupont Circle</v>
      </c>
      <c r="F575" t="s">
        <v>43</v>
      </c>
      <c r="G575" t="s">
        <v>874</v>
      </c>
      <c r="H575" t="s">
        <v>902</v>
      </c>
      <c r="I575">
        <v>90</v>
      </c>
      <c r="J575" t="s">
        <v>821</v>
      </c>
      <c r="K575" t="s">
        <v>13</v>
      </c>
      <c r="L575" t="s">
        <v>13</v>
      </c>
    </row>
    <row r="576" spans="1:12" x14ac:dyDescent="0.5">
      <c r="A576" t="s">
        <v>900</v>
      </c>
      <c r="B576">
        <f>_xlfn.XLOOKUP(A576, 'sqft data'!A:A, 'sqft data'!C:C, "Not Found")</f>
        <v>400</v>
      </c>
      <c r="C576">
        <f>_xlfn.XLOOKUP(A576, 'bedroom data'!A:A, 'bedroom data'!B:B, "Not Found")</f>
        <v>1</v>
      </c>
      <c r="D576">
        <f>_xlfn.XLOOKUP(A576, 'bathroom data'!A:A, 'bathroom data'!B:B, "Not Found")</f>
        <v>1</v>
      </c>
      <c r="E576" t="str">
        <f>_xlfn.XLOOKUP(A576, 'bedroom data'!A:A, 'bedroom data'!C:C, "Not Found")</f>
        <v>Dupont Circle</v>
      </c>
      <c r="F576" t="s">
        <v>43</v>
      </c>
      <c r="G576" t="s">
        <v>903</v>
      </c>
      <c r="H576" t="s">
        <v>904</v>
      </c>
      <c r="I576">
        <v>90</v>
      </c>
      <c r="J576" t="s">
        <v>494</v>
      </c>
      <c r="K576" t="s">
        <v>13</v>
      </c>
      <c r="L576" t="s">
        <v>13</v>
      </c>
    </row>
    <row r="577" spans="1:12" x14ac:dyDescent="0.5">
      <c r="A577" t="s">
        <v>900</v>
      </c>
      <c r="B577">
        <f>_xlfn.XLOOKUP(A577, 'sqft data'!A:A, 'sqft data'!C:C, "Not Found")</f>
        <v>400</v>
      </c>
      <c r="C577">
        <f>_xlfn.XLOOKUP(A577, 'bedroom data'!A:A, 'bedroom data'!B:B, "Not Found")</f>
        <v>1</v>
      </c>
      <c r="D577">
        <f>_xlfn.XLOOKUP(A577, 'bathroom data'!A:A, 'bathroom data'!B:B, "Not Found")</f>
        <v>1</v>
      </c>
      <c r="E577" t="str">
        <f>_xlfn.XLOOKUP(A577, 'bedroom data'!A:A, 'bedroom data'!C:C, "Not Found")</f>
        <v>Dupont Circle</v>
      </c>
      <c r="F577" t="s">
        <v>43</v>
      </c>
      <c r="G577" t="s">
        <v>905</v>
      </c>
      <c r="H577" t="s">
        <v>906</v>
      </c>
      <c r="I577">
        <v>90</v>
      </c>
      <c r="J577" t="s">
        <v>122</v>
      </c>
      <c r="K577" t="s">
        <v>13</v>
      </c>
      <c r="L577" t="s">
        <v>13</v>
      </c>
    </row>
    <row r="578" spans="1:12" x14ac:dyDescent="0.5">
      <c r="A578" t="s">
        <v>907</v>
      </c>
      <c r="B578">
        <f>_xlfn.XLOOKUP(A578, 'sqft data'!A:A, 'sqft data'!C:C, "Not Found")</f>
        <v>390</v>
      </c>
      <c r="C578">
        <f>_xlfn.XLOOKUP(A578, 'bedroom data'!A:A, 'bedroom data'!B:B, "Not Found")</f>
        <v>1</v>
      </c>
      <c r="D578">
        <f>_xlfn.XLOOKUP(A578, 'bathroom data'!A:A, 'bathroom data'!B:B, "Not Found")</f>
        <v>1</v>
      </c>
      <c r="E578" t="str">
        <f>_xlfn.XLOOKUP(A578, 'bedroom data'!A:A, 'bedroom data'!C:C, "Not Found")</f>
        <v>Dupont Circle</v>
      </c>
      <c r="F578" t="s">
        <v>43</v>
      </c>
      <c r="G578" t="s">
        <v>848</v>
      </c>
      <c r="H578" t="s">
        <v>381</v>
      </c>
      <c r="I578">
        <v>107</v>
      </c>
      <c r="J578" t="s">
        <v>462</v>
      </c>
      <c r="K578" t="s">
        <v>13</v>
      </c>
      <c r="L578" t="s">
        <v>13</v>
      </c>
    </row>
    <row r="579" spans="1:12" x14ac:dyDescent="0.5">
      <c r="A579" t="s">
        <v>907</v>
      </c>
      <c r="B579">
        <f>_xlfn.XLOOKUP(A579, 'sqft data'!A:A, 'sqft data'!C:C, "Not Found")</f>
        <v>390</v>
      </c>
      <c r="C579">
        <f>_xlfn.XLOOKUP(A579, 'bedroom data'!A:A, 'bedroom data'!B:B, "Not Found")</f>
        <v>1</v>
      </c>
      <c r="D579">
        <f>_xlfn.XLOOKUP(A579, 'bathroom data'!A:A, 'bathroom data'!B:B, "Not Found")</f>
        <v>1</v>
      </c>
      <c r="E579" t="str">
        <f>_xlfn.XLOOKUP(A579, 'bedroom data'!A:A, 'bedroom data'!C:C, "Not Found")</f>
        <v>Dupont Circle</v>
      </c>
      <c r="F579" t="s">
        <v>43</v>
      </c>
      <c r="G579" t="s">
        <v>346</v>
      </c>
      <c r="H579" t="s">
        <v>40</v>
      </c>
      <c r="I579">
        <v>107</v>
      </c>
      <c r="J579" t="s">
        <v>842</v>
      </c>
      <c r="K579" t="s">
        <v>13</v>
      </c>
      <c r="L579" t="s">
        <v>13</v>
      </c>
    </row>
    <row r="580" spans="1:12" x14ac:dyDescent="0.5">
      <c r="A580" t="s">
        <v>907</v>
      </c>
      <c r="B580">
        <f>_xlfn.XLOOKUP(A580, 'sqft data'!A:A, 'sqft data'!C:C, "Not Found")</f>
        <v>390</v>
      </c>
      <c r="C580">
        <f>_xlfn.XLOOKUP(A580, 'bedroom data'!A:A, 'bedroom data'!B:B, "Not Found")</f>
        <v>1</v>
      </c>
      <c r="D580">
        <f>_xlfn.XLOOKUP(A580, 'bathroom data'!A:A, 'bathroom data'!B:B, "Not Found")</f>
        <v>1</v>
      </c>
      <c r="E580" t="str">
        <f>_xlfn.XLOOKUP(A580, 'bedroom data'!A:A, 'bedroom data'!C:C, "Not Found")</f>
        <v>Dupont Circle</v>
      </c>
      <c r="F580" t="s">
        <v>43</v>
      </c>
      <c r="G580" t="s">
        <v>266</v>
      </c>
      <c r="H580" t="s">
        <v>425</v>
      </c>
      <c r="I580">
        <v>94</v>
      </c>
      <c r="J580" t="s">
        <v>266</v>
      </c>
      <c r="K580" t="s">
        <v>13</v>
      </c>
      <c r="L580" t="s">
        <v>13</v>
      </c>
    </row>
    <row r="581" spans="1:12" x14ac:dyDescent="0.5">
      <c r="A581" t="s">
        <v>907</v>
      </c>
      <c r="B581">
        <f>_xlfn.XLOOKUP(A581, 'sqft data'!A:A, 'sqft data'!C:C, "Not Found")</f>
        <v>390</v>
      </c>
      <c r="C581">
        <f>_xlfn.XLOOKUP(A581, 'bedroom data'!A:A, 'bedroom data'!B:B, "Not Found")</f>
        <v>1</v>
      </c>
      <c r="D581">
        <f>_xlfn.XLOOKUP(A581, 'bathroom data'!A:A, 'bathroom data'!B:B, "Not Found")</f>
        <v>1</v>
      </c>
      <c r="E581" t="str">
        <f>_xlfn.XLOOKUP(A581, 'bedroom data'!A:A, 'bedroom data'!C:C, "Not Found")</f>
        <v>Dupont Circle</v>
      </c>
      <c r="F581" t="s">
        <v>43</v>
      </c>
      <c r="G581" t="s">
        <v>259</v>
      </c>
      <c r="H581" t="s">
        <v>736</v>
      </c>
      <c r="I581">
        <v>97</v>
      </c>
      <c r="J581" t="s">
        <v>173</v>
      </c>
      <c r="K581" t="s">
        <v>13</v>
      </c>
      <c r="L581" t="s">
        <v>13</v>
      </c>
    </row>
    <row r="582" spans="1:12" x14ac:dyDescent="0.5">
      <c r="A582" t="s">
        <v>907</v>
      </c>
      <c r="B582">
        <f>_xlfn.XLOOKUP(A582, 'sqft data'!A:A, 'sqft data'!C:C, "Not Found")</f>
        <v>390</v>
      </c>
      <c r="C582">
        <f>_xlfn.XLOOKUP(A582, 'bedroom data'!A:A, 'bedroom data'!B:B, "Not Found")</f>
        <v>1</v>
      </c>
      <c r="D582">
        <f>_xlfn.XLOOKUP(A582, 'bathroom data'!A:A, 'bathroom data'!B:B, "Not Found")</f>
        <v>1</v>
      </c>
      <c r="E582" t="str">
        <f>_xlfn.XLOOKUP(A582, 'bedroom data'!A:A, 'bedroom data'!C:C, "Not Found")</f>
        <v>Dupont Circle</v>
      </c>
      <c r="F582" t="s">
        <v>43</v>
      </c>
      <c r="G582" t="s">
        <v>276</v>
      </c>
      <c r="H582" t="s">
        <v>908</v>
      </c>
      <c r="I582">
        <v>99</v>
      </c>
      <c r="J582" t="s">
        <v>470</v>
      </c>
      <c r="K582" t="s">
        <v>13</v>
      </c>
      <c r="L582" t="s">
        <v>13</v>
      </c>
    </row>
    <row r="583" spans="1:12" x14ac:dyDescent="0.5">
      <c r="A583" t="s">
        <v>907</v>
      </c>
      <c r="B583">
        <f>_xlfn.XLOOKUP(A583, 'sqft data'!A:A, 'sqft data'!C:C, "Not Found")</f>
        <v>390</v>
      </c>
      <c r="C583">
        <f>_xlfn.XLOOKUP(A583, 'bedroom data'!A:A, 'bedroom data'!B:B, "Not Found")</f>
        <v>1</v>
      </c>
      <c r="D583">
        <f>_xlfn.XLOOKUP(A583, 'bathroom data'!A:A, 'bathroom data'!B:B, "Not Found")</f>
        <v>1</v>
      </c>
      <c r="E583" t="str">
        <f>_xlfn.XLOOKUP(A583, 'bedroom data'!A:A, 'bedroom data'!C:C, "Not Found")</f>
        <v>Dupont Circle</v>
      </c>
      <c r="F583" t="s">
        <v>43</v>
      </c>
      <c r="G583" t="s">
        <v>122</v>
      </c>
      <c r="H583" t="s">
        <v>175</v>
      </c>
      <c r="I583">
        <v>112</v>
      </c>
      <c r="J583" t="s">
        <v>451</v>
      </c>
      <c r="K583" t="s">
        <v>13</v>
      </c>
      <c r="L583" t="s">
        <v>13</v>
      </c>
    </row>
    <row r="584" spans="1:12" x14ac:dyDescent="0.5">
      <c r="A584" t="s">
        <v>907</v>
      </c>
      <c r="B584">
        <f>_xlfn.XLOOKUP(A584, 'sqft data'!A:A, 'sqft data'!C:C, "Not Found")</f>
        <v>390</v>
      </c>
      <c r="C584">
        <f>_xlfn.XLOOKUP(A584, 'bedroom data'!A:A, 'bedroom data'!B:B, "Not Found")</f>
        <v>1</v>
      </c>
      <c r="D584">
        <f>_xlfn.XLOOKUP(A584, 'bathroom data'!A:A, 'bathroom data'!B:B, "Not Found")</f>
        <v>1</v>
      </c>
      <c r="E584" t="str">
        <f>_xlfn.XLOOKUP(A584, 'bedroom data'!A:A, 'bedroom data'!C:C, "Not Found")</f>
        <v>Dupont Circle</v>
      </c>
      <c r="F584" t="s">
        <v>43</v>
      </c>
      <c r="G584" t="s">
        <v>253</v>
      </c>
      <c r="H584" t="s">
        <v>909</v>
      </c>
      <c r="I584">
        <v>112</v>
      </c>
      <c r="J584" t="s">
        <v>868</v>
      </c>
      <c r="K584" t="s">
        <v>13</v>
      </c>
      <c r="L584" t="s">
        <v>13</v>
      </c>
    </row>
    <row r="585" spans="1:12" x14ac:dyDescent="0.5">
      <c r="A585" t="s">
        <v>910</v>
      </c>
      <c r="B585" t="str">
        <f>_xlfn.XLOOKUP(A585, 'sqft data'!A:A, 'sqft data'!C:C, "Not Found")</f>
        <v>Not Found</v>
      </c>
      <c r="C585">
        <f>_xlfn.XLOOKUP(A585, 'bedroom data'!A:A, 'bedroom data'!B:B, "Not Found")</f>
        <v>3</v>
      </c>
      <c r="D585" t="e">
        <f>_xlfn.XLOOKUP(A585, 'bathroom data'!A:A, 'bathroom data'!B:B, "Not Found")</f>
        <v>#VALUE!</v>
      </c>
      <c r="E585" t="str">
        <f>_xlfn.XLOOKUP(A585, 'bedroom data'!A:A, 'bedroom data'!C:C, "Not Found")</f>
        <v>Dupont Circle</v>
      </c>
      <c r="F585" t="s">
        <v>43</v>
      </c>
      <c r="G585" t="s">
        <v>491</v>
      </c>
      <c r="H585" t="s">
        <v>259</v>
      </c>
      <c r="I585">
        <v>2</v>
      </c>
      <c r="J585" t="s">
        <v>491</v>
      </c>
      <c r="K585" t="s">
        <v>13</v>
      </c>
      <c r="L585" t="s">
        <v>13</v>
      </c>
    </row>
    <row r="586" spans="1:12" x14ac:dyDescent="0.5">
      <c r="A586" t="s">
        <v>911</v>
      </c>
      <c r="B586" t="str">
        <f>_xlfn.XLOOKUP(A586, 'sqft data'!A:A, 'sqft data'!C:C, "Not Found")</f>
        <v>Not Found</v>
      </c>
      <c r="C586">
        <f>_xlfn.XLOOKUP(A586, 'bedroom data'!A:A, 'bedroom data'!B:B, "Not Found")</f>
        <v>2</v>
      </c>
      <c r="D586">
        <f>_xlfn.XLOOKUP(A586, 'bathroom data'!A:A, 'bathroom data'!B:B, "Not Found")</f>
        <v>2</v>
      </c>
      <c r="E586" t="str">
        <f>_xlfn.XLOOKUP(A586, 'bedroom data'!A:A, 'bedroom data'!C:C, "Not Found")</f>
        <v>Capitol Hill</v>
      </c>
      <c r="F586" t="s">
        <v>912</v>
      </c>
      <c r="G586" t="s">
        <v>855</v>
      </c>
      <c r="H586" t="s">
        <v>16</v>
      </c>
      <c r="I586">
        <v>0</v>
      </c>
      <c r="J586" t="s">
        <v>913</v>
      </c>
      <c r="K586" t="s">
        <v>13</v>
      </c>
      <c r="L586" t="s">
        <v>13</v>
      </c>
    </row>
    <row r="587" spans="1:12" x14ac:dyDescent="0.5">
      <c r="A587" t="s">
        <v>914</v>
      </c>
      <c r="B587">
        <f>_xlfn.XLOOKUP(A587, 'sqft data'!A:A, 'sqft data'!C:C, "Not Found")</f>
        <v>600</v>
      </c>
      <c r="C587">
        <f>_xlfn.XLOOKUP(A587, 'bedroom data'!A:A, 'bedroom data'!B:B, "Not Found")</f>
        <v>1</v>
      </c>
      <c r="D587">
        <f>_xlfn.XLOOKUP(A587, 'bathroom data'!A:A, 'bathroom data'!B:B, "Not Found")</f>
        <v>1</v>
      </c>
      <c r="E587" t="str">
        <f>_xlfn.XLOOKUP(A587, 'bedroom data'!A:A, 'bedroom data'!C:C, "Not Found")</f>
        <v>Dupont Circle</v>
      </c>
      <c r="F587" t="s">
        <v>915</v>
      </c>
      <c r="G587" t="s">
        <v>698</v>
      </c>
      <c r="H587" t="s">
        <v>378</v>
      </c>
      <c r="I587">
        <v>112</v>
      </c>
      <c r="J587" t="s">
        <v>609</v>
      </c>
      <c r="K587" t="s">
        <v>13</v>
      </c>
      <c r="L587" t="s">
        <v>13</v>
      </c>
    </row>
    <row r="588" spans="1:12" x14ac:dyDescent="0.5">
      <c r="A588" t="s">
        <v>914</v>
      </c>
      <c r="B588">
        <f>_xlfn.XLOOKUP(A588, 'sqft data'!A:A, 'sqft data'!C:C, "Not Found")</f>
        <v>600</v>
      </c>
      <c r="C588">
        <f>_xlfn.XLOOKUP(A588, 'bedroom data'!A:A, 'bedroom data'!B:B, "Not Found")</f>
        <v>1</v>
      </c>
      <c r="D588">
        <f>_xlfn.XLOOKUP(A588, 'bathroom data'!A:A, 'bathroom data'!B:B, "Not Found")</f>
        <v>1</v>
      </c>
      <c r="E588" t="str">
        <f>_xlfn.XLOOKUP(A588, 'bedroom data'!A:A, 'bedroom data'!C:C, "Not Found")</f>
        <v>Dupont Circle</v>
      </c>
      <c r="F588" t="s">
        <v>915</v>
      </c>
      <c r="G588" t="s">
        <v>187</v>
      </c>
      <c r="H588" t="s">
        <v>744</v>
      </c>
      <c r="I588">
        <v>112</v>
      </c>
      <c r="J588" t="s">
        <v>842</v>
      </c>
      <c r="K588" t="s">
        <v>13</v>
      </c>
      <c r="L588" t="s">
        <v>13</v>
      </c>
    </row>
    <row r="589" spans="1:12" x14ac:dyDescent="0.5">
      <c r="A589" t="s">
        <v>914</v>
      </c>
      <c r="B589">
        <f>_xlfn.XLOOKUP(A589, 'sqft data'!A:A, 'sqft data'!C:C, "Not Found")</f>
        <v>600</v>
      </c>
      <c r="C589">
        <f>_xlfn.XLOOKUP(A589, 'bedroom data'!A:A, 'bedroom data'!B:B, "Not Found")</f>
        <v>1</v>
      </c>
      <c r="D589">
        <f>_xlfn.XLOOKUP(A589, 'bathroom data'!A:A, 'bathroom data'!B:B, "Not Found")</f>
        <v>1</v>
      </c>
      <c r="E589" t="str">
        <f>_xlfn.XLOOKUP(A589, 'bedroom data'!A:A, 'bedroom data'!C:C, "Not Found")</f>
        <v>Dupont Circle</v>
      </c>
      <c r="F589" t="s">
        <v>915</v>
      </c>
      <c r="G589" t="s">
        <v>159</v>
      </c>
      <c r="H589" t="s">
        <v>84</v>
      </c>
      <c r="I589">
        <v>112</v>
      </c>
      <c r="J589" t="s">
        <v>716</v>
      </c>
      <c r="K589" t="s">
        <v>13</v>
      </c>
      <c r="L589" t="s">
        <v>13</v>
      </c>
    </row>
    <row r="590" spans="1:12" x14ac:dyDescent="0.5">
      <c r="A590" t="s">
        <v>914</v>
      </c>
      <c r="B590">
        <f>_xlfn.XLOOKUP(A590, 'sqft data'!A:A, 'sqft data'!C:C, "Not Found")</f>
        <v>600</v>
      </c>
      <c r="C590">
        <f>_xlfn.XLOOKUP(A590, 'bedroom data'!A:A, 'bedroom data'!B:B, "Not Found")</f>
        <v>1</v>
      </c>
      <c r="D590">
        <f>_xlfn.XLOOKUP(A590, 'bathroom data'!A:A, 'bathroom data'!B:B, "Not Found")</f>
        <v>1</v>
      </c>
      <c r="E590" t="str">
        <f>_xlfn.XLOOKUP(A590, 'bedroom data'!A:A, 'bedroom data'!C:C, "Not Found")</f>
        <v>Dupont Circle</v>
      </c>
      <c r="F590" t="s">
        <v>915</v>
      </c>
      <c r="G590" t="s">
        <v>599</v>
      </c>
      <c r="H590" t="s">
        <v>916</v>
      </c>
      <c r="I590">
        <v>104.1</v>
      </c>
      <c r="J590" t="s">
        <v>599</v>
      </c>
      <c r="K590" t="s">
        <v>13</v>
      </c>
      <c r="L590" t="s">
        <v>13</v>
      </c>
    </row>
    <row r="591" spans="1:12" x14ac:dyDescent="0.5">
      <c r="A591" t="s">
        <v>914</v>
      </c>
      <c r="B591">
        <f>_xlfn.XLOOKUP(A591, 'sqft data'!A:A, 'sqft data'!C:C, "Not Found")</f>
        <v>600</v>
      </c>
      <c r="C591">
        <f>_xlfn.XLOOKUP(A591, 'bedroom data'!A:A, 'bedroom data'!B:B, "Not Found")</f>
        <v>1</v>
      </c>
      <c r="D591">
        <f>_xlfn.XLOOKUP(A591, 'bathroom data'!A:A, 'bathroom data'!B:B, "Not Found")</f>
        <v>1</v>
      </c>
      <c r="E591" t="str">
        <f>_xlfn.XLOOKUP(A591, 'bedroom data'!A:A, 'bedroom data'!C:C, "Not Found")</f>
        <v>Dupont Circle</v>
      </c>
      <c r="F591" t="s">
        <v>915</v>
      </c>
      <c r="G591" t="s">
        <v>917</v>
      </c>
      <c r="H591" t="s">
        <v>918</v>
      </c>
      <c r="I591">
        <v>108</v>
      </c>
      <c r="J591" t="s">
        <v>174</v>
      </c>
      <c r="K591" t="s">
        <v>13</v>
      </c>
      <c r="L591" t="s">
        <v>13</v>
      </c>
    </row>
    <row r="592" spans="1:12" x14ac:dyDescent="0.5">
      <c r="A592" t="s">
        <v>919</v>
      </c>
      <c r="B592">
        <f>_xlfn.XLOOKUP(A592, 'sqft data'!A:A, 'sqft data'!C:C, "Not Found")</f>
        <v>550</v>
      </c>
      <c r="C592">
        <f>_xlfn.XLOOKUP(A592, 'bedroom data'!A:A, 'bedroom data'!B:B, "Not Found")</f>
        <v>1</v>
      </c>
      <c r="D592">
        <f>_xlfn.XLOOKUP(A592, 'bathroom data'!A:A, 'bathroom data'!B:B, "Not Found")</f>
        <v>1</v>
      </c>
      <c r="E592" t="str">
        <f>_xlfn.XLOOKUP(A592, 'bedroom data'!A:A, 'bedroom data'!C:C, "Not Found")</f>
        <v>Dupont Circle</v>
      </c>
      <c r="F592" t="s">
        <v>920</v>
      </c>
      <c r="G592" t="s">
        <v>362</v>
      </c>
      <c r="H592" t="s">
        <v>333</v>
      </c>
      <c r="I592">
        <v>115</v>
      </c>
      <c r="J592" t="s">
        <v>921</v>
      </c>
      <c r="K592" t="s">
        <v>13</v>
      </c>
      <c r="L592" t="s">
        <v>13</v>
      </c>
    </row>
    <row r="593" spans="1:12" x14ac:dyDescent="0.5">
      <c r="A593" t="s">
        <v>919</v>
      </c>
      <c r="B593">
        <f>_xlfn.XLOOKUP(A593, 'sqft data'!A:A, 'sqft data'!C:C, "Not Found")</f>
        <v>550</v>
      </c>
      <c r="C593">
        <f>_xlfn.XLOOKUP(A593, 'bedroom data'!A:A, 'bedroom data'!B:B, "Not Found")</f>
        <v>1</v>
      </c>
      <c r="D593">
        <f>_xlfn.XLOOKUP(A593, 'bathroom data'!A:A, 'bathroom data'!B:B, "Not Found")</f>
        <v>1</v>
      </c>
      <c r="E593" t="str">
        <f>_xlfn.XLOOKUP(A593, 'bedroom data'!A:A, 'bedroom data'!C:C, "Not Found")</f>
        <v>Dupont Circle</v>
      </c>
      <c r="F593" t="s">
        <v>920</v>
      </c>
      <c r="G593" t="s">
        <v>333</v>
      </c>
      <c r="H593" t="s">
        <v>922</v>
      </c>
      <c r="I593">
        <v>120.75</v>
      </c>
      <c r="J593" t="s">
        <v>21</v>
      </c>
      <c r="K593" t="s">
        <v>13</v>
      </c>
      <c r="L593" t="s">
        <v>13</v>
      </c>
    </row>
    <row r="594" spans="1:12" x14ac:dyDescent="0.5">
      <c r="A594" t="s">
        <v>923</v>
      </c>
      <c r="B594">
        <f>_xlfn.XLOOKUP(A594, 'sqft data'!A:A, 'sqft data'!C:C, "Not Found")</f>
        <v>2300</v>
      </c>
      <c r="C594">
        <f>_xlfn.XLOOKUP(A594, 'bedroom data'!A:A, 'bedroom data'!B:B, "Not Found")</f>
        <v>3</v>
      </c>
      <c r="D594">
        <f>_xlfn.XLOOKUP(A594, 'bathroom data'!A:A, 'bathroom data'!B:B, "Not Found")</f>
        <v>3</v>
      </c>
      <c r="E594" t="str">
        <f>_xlfn.XLOOKUP(A594, 'bedroom data'!A:A, 'bedroom data'!C:C, "Not Found")</f>
        <v>Dupont Circle</v>
      </c>
      <c r="F594" t="s">
        <v>924</v>
      </c>
      <c r="G594" t="s">
        <v>592</v>
      </c>
      <c r="H594" t="s">
        <v>518</v>
      </c>
      <c r="I594">
        <v>0</v>
      </c>
      <c r="J594" t="s">
        <v>592</v>
      </c>
      <c r="K594" t="s">
        <v>13</v>
      </c>
      <c r="L594" t="s">
        <v>13</v>
      </c>
    </row>
    <row r="595" spans="1:12" x14ac:dyDescent="0.5">
      <c r="A595" t="s">
        <v>923</v>
      </c>
      <c r="B595">
        <f>_xlfn.XLOOKUP(A595, 'sqft data'!A:A, 'sqft data'!C:C, "Not Found")</f>
        <v>2300</v>
      </c>
      <c r="C595">
        <f>_xlfn.XLOOKUP(A595, 'bedroom data'!A:A, 'bedroom data'!B:B, "Not Found")</f>
        <v>3</v>
      </c>
      <c r="D595">
        <f>_xlfn.XLOOKUP(A595, 'bathroom data'!A:A, 'bathroom data'!B:B, "Not Found")</f>
        <v>3</v>
      </c>
      <c r="E595" t="str">
        <f>_xlfn.XLOOKUP(A595, 'bedroom data'!A:A, 'bedroom data'!C:C, "Not Found")</f>
        <v>Dupont Circle</v>
      </c>
      <c r="F595" t="s">
        <v>924</v>
      </c>
      <c r="G595" t="s">
        <v>693</v>
      </c>
      <c r="H595" t="s">
        <v>889</v>
      </c>
      <c r="I595">
        <v>233</v>
      </c>
      <c r="J595" t="s">
        <v>272</v>
      </c>
      <c r="K595" t="s">
        <v>13</v>
      </c>
      <c r="L595" t="s">
        <v>13</v>
      </c>
    </row>
    <row r="596" spans="1:12" x14ac:dyDescent="0.5">
      <c r="A596" t="s">
        <v>925</v>
      </c>
      <c r="B596" t="str">
        <f>_xlfn.XLOOKUP(A596, 'sqft data'!A:A, 'sqft data'!C:C, "Not Found")</f>
        <v>Not Found</v>
      </c>
      <c r="C596">
        <f>_xlfn.XLOOKUP(A596, 'bedroom data'!A:A, 'bedroom data'!B:B, "Not Found")</f>
        <v>1</v>
      </c>
      <c r="D596">
        <f>_xlfn.XLOOKUP(A596, 'bathroom data'!A:A, 'bathroom data'!B:B, "Not Found")</f>
        <v>1</v>
      </c>
      <c r="E596" t="str">
        <f>_xlfn.XLOOKUP(A596, 'bedroom data'!A:A, 'bedroom data'!C:C, "Not Found")</f>
        <v>Dupont Circle</v>
      </c>
      <c r="F596" t="s">
        <v>20</v>
      </c>
      <c r="G596" t="s">
        <v>820</v>
      </c>
      <c r="H596" t="s">
        <v>44</v>
      </c>
      <c r="I596">
        <v>0</v>
      </c>
      <c r="J596" t="s">
        <v>820</v>
      </c>
      <c r="K596" t="s">
        <v>13</v>
      </c>
      <c r="L596" t="s">
        <v>13</v>
      </c>
    </row>
    <row r="597" spans="1:12" x14ac:dyDescent="0.5">
      <c r="A597" t="s">
        <v>926</v>
      </c>
      <c r="B597">
        <f>_xlfn.XLOOKUP(A597, 'sqft data'!A:A, 'sqft data'!C:C, "Not Found")</f>
        <v>550</v>
      </c>
      <c r="C597">
        <f>_xlfn.XLOOKUP(A597, 'bedroom data'!A:A, 'bedroom data'!B:B, "Not Found")</f>
        <v>1</v>
      </c>
      <c r="D597">
        <f>_xlfn.XLOOKUP(A597, 'bathroom data'!A:A, 'bathroom data'!B:B, "Not Found")</f>
        <v>1</v>
      </c>
      <c r="E597" t="str">
        <f>_xlfn.XLOOKUP(A597, 'bedroom data'!A:A, 'bedroom data'!C:C, "Not Found")</f>
        <v>Dupont Circle</v>
      </c>
      <c r="F597" t="s">
        <v>927</v>
      </c>
      <c r="G597" t="s">
        <v>406</v>
      </c>
      <c r="H597" t="s">
        <v>298</v>
      </c>
      <c r="I597">
        <v>137</v>
      </c>
      <c r="J597" t="s">
        <v>360</v>
      </c>
      <c r="K597" t="s">
        <v>13</v>
      </c>
      <c r="L597" t="s">
        <v>13</v>
      </c>
    </row>
    <row r="598" spans="1:12" x14ac:dyDescent="0.5">
      <c r="A598" t="s">
        <v>926</v>
      </c>
      <c r="B598">
        <f>_xlfn.XLOOKUP(A598, 'sqft data'!A:A, 'sqft data'!C:C, "Not Found")</f>
        <v>550</v>
      </c>
      <c r="C598">
        <f>_xlfn.XLOOKUP(A598, 'bedroom data'!A:A, 'bedroom data'!B:B, "Not Found")</f>
        <v>1</v>
      </c>
      <c r="D598">
        <f>_xlfn.XLOOKUP(A598, 'bathroom data'!A:A, 'bathroom data'!B:B, "Not Found")</f>
        <v>1</v>
      </c>
      <c r="E598" t="str">
        <f>_xlfn.XLOOKUP(A598, 'bedroom data'!A:A, 'bedroom data'!C:C, "Not Found")</f>
        <v>Dupont Circle</v>
      </c>
      <c r="F598" t="s">
        <v>927</v>
      </c>
      <c r="G598" t="s">
        <v>225</v>
      </c>
      <c r="H598" t="s">
        <v>226</v>
      </c>
      <c r="I598">
        <v>125</v>
      </c>
      <c r="J598" t="s">
        <v>827</v>
      </c>
      <c r="K598" t="s">
        <v>13</v>
      </c>
      <c r="L598" t="s">
        <v>13</v>
      </c>
    </row>
    <row r="599" spans="1:12" x14ac:dyDescent="0.5">
      <c r="A599" t="s">
        <v>926</v>
      </c>
      <c r="B599">
        <f>_xlfn.XLOOKUP(A599, 'sqft data'!A:A, 'sqft data'!C:C, "Not Found")</f>
        <v>550</v>
      </c>
      <c r="C599">
        <f>_xlfn.XLOOKUP(A599, 'bedroom data'!A:A, 'bedroom data'!B:B, "Not Found")</f>
        <v>1</v>
      </c>
      <c r="D599">
        <f>_xlfn.XLOOKUP(A599, 'bathroom data'!A:A, 'bathroom data'!B:B, "Not Found")</f>
        <v>1</v>
      </c>
      <c r="E599" t="str">
        <f>_xlfn.XLOOKUP(A599, 'bedroom data'!A:A, 'bedroom data'!C:C, "Not Found")</f>
        <v>Dupont Circle</v>
      </c>
      <c r="F599" t="s">
        <v>927</v>
      </c>
      <c r="G599" t="s">
        <v>808</v>
      </c>
      <c r="H599" t="s">
        <v>928</v>
      </c>
      <c r="I599">
        <v>120.96</v>
      </c>
      <c r="J599" t="s">
        <v>265</v>
      </c>
      <c r="K599" t="s">
        <v>36</v>
      </c>
      <c r="L599" t="s">
        <v>36</v>
      </c>
    </row>
    <row r="600" spans="1:12" x14ac:dyDescent="0.5">
      <c r="A600" t="s">
        <v>926</v>
      </c>
      <c r="B600">
        <f>_xlfn.XLOOKUP(A600, 'sqft data'!A:A, 'sqft data'!C:C, "Not Found")</f>
        <v>550</v>
      </c>
      <c r="C600">
        <f>_xlfn.XLOOKUP(A600, 'bedroom data'!A:A, 'bedroom data'!B:B, "Not Found")</f>
        <v>1</v>
      </c>
      <c r="D600">
        <f>_xlfn.XLOOKUP(A600, 'bathroom data'!A:A, 'bathroom data'!B:B, "Not Found")</f>
        <v>1</v>
      </c>
      <c r="E600" t="str">
        <f>_xlfn.XLOOKUP(A600, 'bedroom data'!A:A, 'bedroom data'!C:C, "Not Found")</f>
        <v>Dupont Circle</v>
      </c>
      <c r="F600" t="s">
        <v>927</v>
      </c>
      <c r="G600" t="s">
        <v>219</v>
      </c>
      <c r="H600" t="s">
        <v>118</v>
      </c>
      <c r="I600">
        <v>120</v>
      </c>
      <c r="J600" t="s">
        <v>70</v>
      </c>
      <c r="K600" t="s">
        <v>13</v>
      </c>
      <c r="L600" t="s">
        <v>13</v>
      </c>
    </row>
    <row r="601" spans="1:12" x14ac:dyDescent="0.5">
      <c r="A601" t="s">
        <v>926</v>
      </c>
      <c r="B601">
        <f>_xlfn.XLOOKUP(A601, 'sqft data'!A:A, 'sqft data'!C:C, "Not Found")</f>
        <v>550</v>
      </c>
      <c r="C601">
        <f>_xlfn.XLOOKUP(A601, 'bedroom data'!A:A, 'bedroom data'!B:B, "Not Found")</f>
        <v>1</v>
      </c>
      <c r="D601">
        <f>_xlfn.XLOOKUP(A601, 'bathroom data'!A:A, 'bathroom data'!B:B, "Not Found")</f>
        <v>1</v>
      </c>
      <c r="E601" t="str">
        <f>_xlfn.XLOOKUP(A601, 'bedroom data'!A:A, 'bedroom data'!C:C, "Not Found")</f>
        <v>Dupont Circle</v>
      </c>
      <c r="F601" t="s">
        <v>927</v>
      </c>
      <c r="G601" t="s">
        <v>562</v>
      </c>
      <c r="H601" t="s">
        <v>105</v>
      </c>
      <c r="I601">
        <v>136</v>
      </c>
      <c r="J601" t="s">
        <v>466</v>
      </c>
      <c r="K601" t="s">
        <v>36</v>
      </c>
      <c r="L601" t="s">
        <v>36</v>
      </c>
    </row>
    <row r="602" spans="1:12" x14ac:dyDescent="0.5">
      <c r="A602" t="s">
        <v>926</v>
      </c>
      <c r="B602">
        <f>_xlfn.XLOOKUP(A602, 'sqft data'!A:A, 'sqft data'!C:C, "Not Found")</f>
        <v>550</v>
      </c>
      <c r="C602">
        <f>_xlfn.XLOOKUP(A602, 'bedroom data'!A:A, 'bedroom data'!B:B, "Not Found")</f>
        <v>1</v>
      </c>
      <c r="D602">
        <f>_xlfn.XLOOKUP(A602, 'bathroom data'!A:A, 'bathroom data'!B:B, "Not Found")</f>
        <v>1</v>
      </c>
      <c r="E602" t="str">
        <f>_xlfn.XLOOKUP(A602, 'bedroom data'!A:A, 'bedroom data'!C:C, "Not Found")</f>
        <v>Dupont Circle</v>
      </c>
      <c r="F602" t="s">
        <v>927</v>
      </c>
      <c r="G602" t="s">
        <v>585</v>
      </c>
      <c r="H602" t="s">
        <v>929</v>
      </c>
      <c r="I602">
        <v>128</v>
      </c>
      <c r="J602" t="s">
        <v>674</v>
      </c>
      <c r="K602" t="s">
        <v>13</v>
      </c>
      <c r="L602" t="s">
        <v>13</v>
      </c>
    </row>
    <row r="603" spans="1:12" x14ac:dyDescent="0.5">
      <c r="A603" t="s">
        <v>930</v>
      </c>
      <c r="B603">
        <f>_xlfn.XLOOKUP(A603, 'sqft data'!A:A, 'sqft data'!C:C, "Not Found")</f>
        <v>700</v>
      </c>
      <c r="C603">
        <f>_xlfn.XLOOKUP(A603, 'bedroom data'!A:A, 'bedroom data'!B:B, "Not Found")</f>
        <v>1</v>
      </c>
      <c r="D603">
        <f>_xlfn.XLOOKUP(A603, 'bathroom data'!A:A, 'bathroom data'!B:B, "Not Found")</f>
        <v>1</v>
      </c>
      <c r="E603" t="str">
        <f>_xlfn.XLOOKUP(A603, 'bedroom data'!A:A, 'bedroom data'!C:C, "Not Found")</f>
        <v>Dupont Circle</v>
      </c>
      <c r="F603" t="s">
        <v>931</v>
      </c>
      <c r="G603" t="s">
        <v>418</v>
      </c>
      <c r="H603" t="s">
        <v>16</v>
      </c>
      <c r="I603">
        <v>0</v>
      </c>
      <c r="J603" t="s">
        <v>418</v>
      </c>
      <c r="K603" t="s">
        <v>13</v>
      </c>
      <c r="L603" t="s">
        <v>13</v>
      </c>
    </row>
    <row r="604" spans="1:12" x14ac:dyDescent="0.5">
      <c r="A604" t="s">
        <v>930</v>
      </c>
      <c r="B604">
        <f>_xlfn.XLOOKUP(A604, 'sqft data'!A:A, 'sqft data'!C:C, "Not Found")</f>
        <v>700</v>
      </c>
      <c r="C604">
        <f>_xlfn.XLOOKUP(A604, 'bedroom data'!A:A, 'bedroom data'!B:B, "Not Found")</f>
        <v>1</v>
      </c>
      <c r="D604">
        <f>_xlfn.XLOOKUP(A604, 'bathroom data'!A:A, 'bathroom data'!B:B, "Not Found")</f>
        <v>1</v>
      </c>
      <c r="E604" t="str">
        <f>_xlfn.XLOOKUP(A604, 'bedroom data'!A:A, 'bedroom data'!C:C, "Not Found")</f>
        <v>Dupont Circle</v>
      </c>
      <c r="F604" t="s">
        <v>931</v>
      </c>
      <c r="G604" t="s">
        <v>293</v>
      </c>
      <c r="H604" t="s">
        <v>135</v>
      </c>
      <c r="I604">
        <v>110</v>
      </c>
      <c r="J604" t="s">
        <v>172</v>
      </c>
      <c r="K604" t="s">
        <v>13</v>
      </c>
      <c r="L604" t="s">
        <v>13</v>
      </c>
    </row>
    <row r="605" spans="1:12" x14ac:dyDescent="0.5">
      <c r="A605" t="s">
        <v>930</v>
      </c>
      <c r="B605">
        <f>_xlfn.XLOOKUP(A605, 'sqft data'!A:A, 'sqft data'!C:C, "Not Found")</f>
        <v>700</v>
      </c>
      <c r="C605">
        <f>_xlfn.XLOOKUP(A605, 'bedroom data'!A:A, 'bedroom data'!B:B, "Not Found")</f>
        <v>1</v>
      </c>
      <c r="D605">
        <f>_xlfn.XLOOKUP(A605, 'bathroom data'!A:A, 'bathroom data'!B:B, "Not Found")</f>
        <v>1</v>
      </c>
      <c r="E605" t="str">
        <f>_xlfn.XLOOKUP(A605, 'bedroom data'!A:A, 'bedroom data'!C:C, "Not Found")</f>
        <v>Dupont Circle</v>
      </c>
      <c r="F605" t="s">
        <v>931</v>
      </c>
      <c r="G605" t="s">
        <v>311</v>
      </c>
      <c r="H605" t="s">
        <v>873</v>
      </c>
      <c r="I605">
        <v>110</v>
      </c>
      <c r="J605" t="s">
        <v>426</v>
      </c>
      <c r="K605" t="s">
        <v>13</v>
      </c>
      <c r="L605" t="s">
        <v>13</v>
      </c>
    </row>
    <row r="606" spans="1:12" x14ac:dyDescent="0.5">
      <c r="A606" t="s">
        <v>930</v>
      </c>
      <c r="B606">
        <f>_xlfn.XLOOKUP(A606, 'sqft data'!A:A, 'sqft data'!C:C, "Not Found")</f>
        <v>700</v>
      </c>
      <c r="C606">
        <f>_xlfn.XLOOKUP(A606, 'bedroom data'!A:A, 'bedroom data'!B:B, "Not Found")</f>
        <v>1</v>
      </c>
      <c r="D606">
        <f>_xlfn.XLOOKUP(A606, 'bathroom data'!A:A, 'bathroom data'!B:B, "Not Found")</f>
        <v>1</v>
      </c>
      <c r="E606" t="str">
        <f>_xlfn.XLOOKUP(A606, 'bedroom data'!A:A, 'bedroom data'!C:C, "Not Found")</f>
        <v>Dupont Circle</v>
      </c>
      <c r="F606" t="s">
        <v>931</v>
      </c>
      <c r="G606" t="s">
        <v>79</v>
      </c>
      <c r="H606" t="s">
        <v>932</v>
      </c>
      <c r="I606">
        <v>0</v>
      </c>
      <c r="J606" t="s">
        <v>79</v>
      </c>
      <c r="K606" t="s">
        <v>13</v>
      </c>
      <c r="L606" t="s">
        <v>13</v>
      </c>
    </row>
    <row r="607" spans="1:12" x14ac:dyDescent="0.5">
      <c r="A607" t="s">
        <v>930</v>
      </c>
      <c r="B607">
        <f>_xlfn.XLOOKUP(A607, 'sqft data'!A:A, 'sqft data'!C:C, "Not Found")</f>
        <v>700</v>
      </c>
      <c r="C607">
        <f>_xlfn.XLOOKUP(A607, 'bedroom data'!A:A, 'bedroom data'!B:B, "Not Found")</f>
        <v>1</v>
      </c>
      <c r="D607">
        <f>_xlfn.XLOOKUP(A607, 'bathroom data'!A:A, 'bathroom data'!B:B, "Not Found")</f>
        <v>1</v>
      </c>
      <c r="E607" t="str">
        <f>_xlfn.XLOOKUP(A607, 'bedroom data'!A:A, 'bedroom data'!C:C, "Not Found")</f>
        <v>Dupont Circle</v>
      </c>
      <c r="F607" t="s">
        <v>931</v>
      </c>
      <c r="G607" t="s">
        <v>932</v>
      </c>
      <c r="H607" t="s">
        <v>781</v>
      </c>
      <c r="I607">
        <v>0</v>
      </c>
      <c r="J607" t="s">
        <v>592</v>
      </c>
      <c r="K607" t="s">
        <v>13</v>
      </c>
      <c r="L607" t="s">
        <v>13</v>
      </c>
    </row>
    <row r="608" spans="1:12" x14ac:dyDescent="0.5">
      <c r="A608" t="s">
        <v>933</v>
      </c>
      <c r="B608">
        <f>_xlfn.XLOOKUP(A608, 'sqft data'!A:A, 'sqft data'!C:C, "Not Found")</f>
        <v>500</v>
      </c>
      <c r="C608" t="str">
        <f>_xlfn.XLOOKUP(A608, 'bedroom data'!A:A, 'bedroom data'!B:B, "Not Found")</f>
        <v>Studio</v>
      </c>
      <c r="D608">
        <f>_xlfn.XLOOKUP(A608, 'bathroom data'!A:A, 'bathroom data'!B:B, "Not Found")</f>
        <v>1</v>
      </c>
      <c r="E608" t="str">
        <f>_xlfn.XLOOKUP(A608, 'bedroom data'!A:A, 'bedroom data'!C:C, "Not Found")</f>
        <v>Dupont Circle</v>
      </c>
      <c r="F608" t="s">
        <v>934</v>
      </c>
      <c r="G608" t="s">
        <v>705</v>
      </c>
      <c r="H608" t="s">
        <v>935</v>
      </c>
      <c r="I608">
        <v>0</v>
      </c>
      <c r="J608" t="s">
        <v>705</v>
      </c>
      <c r="K608" t="s">
        <v>13</v>
      </c>
      <c r="L608" t="s">
        <v>13</v>
      </c>
    </row>
    <row r="609" spans="1:12" x14ac:dyDescent="0.5">
      <c r="A609" t="s">
        <v>933</v>
      </c>
      <c r="B609">
        <f>_xlfn.XLOOKUP(A609, 'sqft data'!A:A, 'sqft data'!C:C, "Not Found")</f>
        <v>500</v>
      </c>
      <c r="C609" t="str">
        <f>_xlfn.XLOOKUP(A609, 'bedroom data'!A:A, 'bedroom data'!B:B, "Not Found")</f>
        <v>Studio</v>
      </c>
      <c r="D609">
        <f>_xlfn.XLOOKUP(A609, 'bathroom data'!A:A, 'bathroom data'!B:B, "Not Found")</f>
        <v>1</v>
      </c>
      <c r="E609" t="str">
        <f>_xlfn.XLOOKUP(A609, 'bedroom data'!A:A, 'bedroom data'!C:C, "Not Found")</f>
        <v>Dupont Circle</v>
      </c>
      <c r="F609" t="s">
        <v>934</v>
      </c>
      <c r="G609" t="s">
        <v>478</v>
      </c>
      <c r="H609" t="s">
        <v>633</v>
      </c>
      <c r="I609">
        <v>77</v>
      </c>
      <c r="J609" t="s">
        <v>936</v>
      </c>
      <c r="K609" t="s">
        <v>13</v>
      </c>
      <c r="L609" t="s">
        <v>13</v>
      </c>
    </row>
    <row r="610" spans="1:12" x14ac:dyDescent="0.5">
      <c r="A610" t="s">
        <v>937</v>
      </c>
      <c r="B610" t="str">
        <f>_xlfn.XLOOKUP(A610, 'sqft data'!A:A, 'sqft data'!C:C, "Not Found")</f>
        <v>Not Found</v>
      </c>
      <c r="C610">
        <f>_xlfn.XLOOKUP(A610, 'bedroom data'!A:A, 'bedroom data'!B:B, "Not Found")</f>
        <v>4</v>
      </c>
      <c r="D610" t="e">
        <f>_xlfn.XLOOKUP(A610, 'bathroom data'!A:A, 'bathroom data'!B:B, "Not Found")</f>
        <v>#VALUE!</v>
      </c>
      <c r="E610" t="str">
        <f>_xlfn.XLOOKUP(A610, 'bedroom data'!A:A, 'bedroom data'!C:C, "Not Found")</f>
        <v>Colonial Village</v>
      </c>
      <c r="F610" t="s">
        <v>938</v>
      </c>
      <c r="G610" t="s">
        <v>344</v>
      </c>
      <c r="H610" t="s">
        <v>376</v>
      </c>
      <c r="I610">
        <v>0</v>
      </c>
      <c r="J610" t="s">
        <v>344</v>
      </c>
      <c r="K610" t="s">
        <v>13</v>
      </c>
      <c r="L610" t="s">
        <v>13</v>
      </c>
    </row>
    <row r="611" spans="1:12" x14ac:dyDescent="0.5">
      <c r="A611" t="s">
        <v>937</v>
      </c>
      <c r="B611" t="str">
        <f>_xlfn.XLOOKUP(A611, 'sqft data'!A:A, 'sqft data'!C:C, "Not Found")</f>
        <v>Not Found</v>
      </c>
      <c r="C611">
        <f>_xlfn.XLOOKUP(A611, 'bedroom data'!A:A, 'bedroom data'!B:B, "Not Found")</f>
        <v>4</v>
      </c>
      <c r="D611" t="e">
        <f>_xlfn.XLOOKUP(A611, 'bathroom data'!A:A, 'bathroom data'!B:B, "Not Found")</f>
        <v>#VALUE!</v>
      </c>
      <c r="E611" t="str">
        <f>_xlfn.XLOOKUP(A611, 'bedroom data'!A:A, 'bedroom data'!C:C, "Not Found")</f>
        <v>Colonial Village</v>
      </c>
      <c r="F611" t="s">
        <v>938</v>
      </c>
      <c r="G611" t="s">
        <v>133</v>
      </c>
      <c r="H611" t="s">
        <v>190</v>
      </c>
      <c r="I611">
        <v>250</v>
      </c>
      <c r="J611" t="s">
        <v>400</v>
      </c>
      <c r="K611" t="s">
        <v>13</v>
      </c>
      <c r="L611" t="s">
        <v>36</v>
      </c>
    </row>
    <row r="612" spans="1:12" x14ac:dyDescent="0.5">
      <c r="A612" t="s">
        <v>939</v>
      </c>
      <c r="B612">
        <f>_xlfn.XLOOKUP(A612, 'sqft data'!A:A, 'sqft data'!C:C, "Not Found")</f>
        <v>1400</v>
      </c>
      <c r="C612">
        <f>_xlfn.XLOOKUP(A612, 'bedroom data'!A:A, 'bedroom data'!B:B, "Not Found")</f>
        <v>2</v>
      </c>
      <c r="D612">
        <f>_xlfn.XLOOKUP(A612, 'bathroom data'!A:A, 'bathroom data'!B:B, "Not Found")</f>
        <v>2.5</v>
      </c>
      <c r="E612" t="str">
        <f>_xlfn.XLOOKUP(A612, 'bedroom data'!A:A, 'bedroom data'!C:C, "Not Found")</f>
        <v>U Street Corridor</v>
      </c>
      <c r="F612" t="s">
        <v>940</v>
      </c>
      <c r="G612" t="s">
        <v>941</v>
      </c>
      <c r="H612" t="s">
        <v>928</v>
      </c>
      <c r="I612">
        <v>153.33000000000001</v>
      </c>
      <c r="J612" t="s">
        <v>732</v>
      </c>
      <c r="K612" t="s">
        <v>36</v>
      </c>
      <c r="L612" t="s">
        <v>13</v>
      </c>
    </row>
    <row r="613" spans="1:12" x14ac:dyDescent="0.5">
      <c r="A613" t="s">
        <v>939</v>
      </c>
      <c r="B613">
        <f>_xlfn.XLOOKUP(A613, 'sqft data'!A:A, 'sqft data'!C:C, "Not Found")</f>
        <v>1400</v>
      </c>
      <c r="C613">
        <f>_xlfn.XLOOKUP(A613, 'bedroom data'!A:A, 'bedroom data'!B:B, "Not Found")</f>
        <v>2</v>
      </c>
      <c r="D613">
        <f>_xlfn.XLOOKUP(A613, 'bathroom data'!A:A, 'bathroom data'!B:B, "Not Found")</f>
        <v>2.5</v>
      </c>
      <c r="E613" t="str">
        <f>_xlfn.XLOOKUP(A613, 'bedroom data'!A:A, 'bedroom data'!C:C, "Not Found")</f>
        <v>U Street Corridor</v>
      </c>
      <c r="F613" t="s">
        <v>940</v>
      </c>
      <c r="G613" t="s">
        <v>928</v>
      </c>
      <c r="H613" t="s">
        <v>942</v>
      </c>
      <c r="I613">
        <v>161.66</v>
      </c>
      <c r="J613" t="s">
        <v>648</v>
      </c>
      <c r="K613" t="s">
        <v>36</v>
      </c>
      <c r="L613" t="s">
        <v>13</v>
      </c>
    </row>
    <row r="614" spans="1:12" x14ac:dyDescent="0.5">
      <c r="A614" t="s">
        <v>943</v>
      </c>
      <c r="B614">
        <f>_xlfn.XLOOKUP(A614, 'sqft data'!A:A, 'sqft data'!C:C, "Not Found")</f>
        <v>750</v>
      </c>
      <c r="C614">
        <f>_xlfn.XLOOKUP(A614, 'bedroom data'!A:A, 'bedroom data'!B:B, "Not Found")</f>
        <v>1</v>
      </c>
      <c r="D614">
        <f>_xlfn.XLOOKUP(A614, 'bathroom data'!A:A, 'bathroom data'!B:B, "Not Found")</f>
        <v>1</v>
      </c>
      <c r="E614" t="str">
        <f>_xlfn.XLOOKUP(A614, 'bedroom data'!A:A, 'bedroom data'!C:C, "Not Found")</f>
        <v>Dupont Circle</v>
      </c>
      <c r="F614" t="s">
        <v>944</v>
      </c>
      <c r="G614" t="s">
        <v>945</v>
      </c>
      <c r="H614" t="s">
        <v>40</v>
      </c>
      <c r="I614">
        <v>99</v>
      </c>
      <c r="J614" t="s">
        <v>946</v>
      </c>
      <c r="K614" t="s">
        <v>13</v>
      </c>
      <c r="L614" t="s">
        <v>13</v>
      </c>
    </row>
    <row r="615" spans="1:12" x14ac:dyDescent="0.5">
      <c r="A615" t="s">
        <v>943</v>
      </c>
      <c r="B615">
        <f>_xlfn.XLOOKUP(A615, 'sqft data'!A:A, 'sqft data'!C:C, "Not Found")</f>
        <v>750</v>
      </c>
      <c r="C615">
        <f>_xlfn.XLOOKUP(A615, 'bedroom data'!A:A, 'bedroom data'!B:B, "Not Found")</f>
        <v>1</v>
      </c>
      <c r="D615">
        <f>_xlfn.XLOOKUP(A615, 'bathroom data'!A:A, 'bathroom data'!B:B, "Not Found")</f>
        <v>1</v>
      </c>
      <c r="E615" t="str">
        <f>_xlfn.XLOOKUP(A615, 'bedroom data'!A:A, 'bedroom data'!C:C, "Not Found")</f>
        <v>Dupont Circle</v>
      </c>
      <c r="F615" t="s">
        <v>944</v>
      </c>
      <c r="G615" t="s">
        <v>40</v>
      </c>
      <c r="H615" t="s">
        <v>58</v>
      </c>
      <c r="I615">
        <v>104</v>
      </c>
      <c r="J615" t="s">
        <v>407</v>
      </c>
      <c r="K615" t="s">
        <v>13</v>
      </c>
      <c r="L615" t="s">
        <v>13</v>
      </c>
    </row>
    <row r="616" spans="1:12" x14ac:dyDescent="0.5">
      <c r="A616" t="s">
        <v>947</v>
      </c>
      <c r="B616">
        <f>_xlfn.XLOOKUP(A616, 'sqft data'!A:A, 'sqft data'!C:C, "Not Found")</f>
        <v>550</v>
      </c>
      <c r="C616" t="str">
        <f>_xlfn.XLOOKUP(A616, 'bedroom data'!A:A, 'bedroom data'!B:B, "Not Found")</f>
        <v>Studio</v>
      </c>
      <c r="D616">
        <f>_xlfn.XLOOKUP(A616, 'bathroom data'!A:A, 'bathroom data'!B:B, "Not Found")</f>
        <v>1</v>
      </c>
      <c r="E616" t="str">
        <f>_xlfn.XLOOKUP(A616, 'bedroom data'!A:A, 'bedroom data'!C:C, "Not Found")</f>
        <v>Dupont Circle</v>
      </c>
      <c r="F616" t="s">
        <v>948</v>
      </c>
      <c r="G616" t="s">
        <v>602</v>
      </c>
      <c r="H616" t="s">
        <v>99</v>
      </c>
      <c r="I616">
        <v>90</v>
      </c>
      <c r="J616" t="s">
        <v>645</v>
      </c>
      <c r="K616" t="s">
        <v>13</v>
      </c>
      <c r="L616" t="s">
        <v>13</v>
      </c>
    </row>
    <row r="617" spans="1:12" x14ac:dyDescent="0.5">
      <c r="A617" t="s">
        <v>947</v>
      </c>
      <c r="B617">
        <f>_xlfn.XLOOKUP(A617, 'sqft data'!A:A, 'sqft data'!C:C, "Not Found")</f>
        <v>550</v>
      </c>
      <c r="C617" t="str">
        <f>_xlfn.XLOOKUP(A617, 'bedroom data'!A:A, 'bedroom data'!B:B, "Not Found")</f>
        <v>Studio</v>
      </c>
      <c r="D617">
        <f>_xlfn.XLOOKUP(A617, 'bathroom data'!A:A, 'bathroom data'!B:B, "Not Found")</f>
        <v>1</v>
      </c>
      <c r="E617" t="str">
        <f>_xlfn.XLOOKUP(A617, 'bedroom data'!A:A, 'bedroom data'!C:C, "Not Found")</f>
        <v>Dupont Circle</v>
      </c>
      <c r="F617" t="s">
        <v>948</v>
      </c>
      <c r="G617" t="s">
        <v>504</v>
      </c>
      <c r="H617" t="s">
        <v>45</v>
      </c>
      <c r="I617">
        <v>90</v>
      </c>
      <c r="J617" t="s">
        <v>10</v>
      </c>
      <c r="K617" t="s">
        <v>13</v>
      </c>
      <c r="L617" t="s">
        <v>13</v>
      </c>
    </row>
    <row r="618" spans="1:12" x14ac:dyDescent="0.5">
      <c r="A618" t="s">
        <v>947</v>
      </c>
      <c r="B618">
        <f>_xlfn.XLOOKUP(A618, 'sqft data'!A:A, 'sqft data'!C:C, "Not Found")</f>
        <v>550</v>
      </c>
      <c r="C618" t="str">
        <f>_xlfn.XLOOKUP(A618, 'bedroom data'!A:A, 'bedroom data'!B:B, "Not Found")</f>
        <v>Studio</v>
      </c>
      <c r="D618">
        <f>_xlfn.XLOOKUP(A618, 'bathroom data'!A:A, 'bathroom data'!B:B, "Not Found")</f>
        <v>1</v>
      </c>
      <c r="E618" t="str">
        <f>_xlfn.XLOOKUP(A618, 'bedroom data'!A:A, 'bedroom data'!C:C, "Not Found")</f>
        <v>Dupont Circle</v>
      </c>
      <c r="F618" t="s">
        <v>948</v>
      </c>
      <c r="G618" t="s">
        <v>182</v>
      </c>
      <c r="H618" t="s">
        <v>592</v>
      </c>
      <c r="I618">
        <v>76.37</v>
      </c>
      <c r="J618" t="s">
        <v>458</v>
      </c>
      <c r="K618" t="s">
        <v>13</v>
      </c>
      <c r="L618" t="s">
        <v>13</v>
      </c>
    </row>
    <row r="619" spans="1:12" x14ac:dyDescent="0.5">
      <c r="A619" t="s">
        <v>947</v>
      </c>
      <c r="B619">
        <f>_xlfn.XLOOKUP(A619, 'sqft data'!A:A, 'sqft data'!C:C, "Not Found")</f>
        <v>550</v>
      </c>
      <c r="C619" t="str">
        <f>_xlfn.XLOOKUP(A619, 'bedroom data'!A:A, 'bedroom data'!B:B, "Not Found")</f>
        <v>Studio</v>
      </c>
      <c r="D619">
        <f>_xlfn.XLOOKUP(A619, 'bathroom data'!A:A, 'bathroom data'!B:B, "Not Found")</f>
        <v>1</v>
      </c>
      <c r="E619" t="str">
        <f>_xlfn.XLOOKUP(A619, 'bedroom data'!A:A, 'bedroom data'!C:C, "Not Found")</f>
        <v>Dupont Circle</v>
      </c>
      <c r="F619" t="s">
        <v>948</v>
      </c>
      <c r="G619" t="s">
        <v>121</v>
      </c>
      <c r="H619" t="s">
        <v>675</v>
      </c>
      <c r="I619">
        <v>89</v>
      </c>
      <c r="J619" t="s">
        <v>199</v>
      </c>
      <c r="K619" t="s">
        <v>13</v>
      </c>
      <c r="L619" t="s">
        <v>13</v>
      </c>
    </row>
    <row r="620" spans="1:12" x14ac:dyDescent="0.5">
      <c r="A620" t="s">
        <v>949</v>
      </c>
      <c r="B620">
        <f>_xlfn.XLOOKUP(A620, 'sqft data'!A:A, 'sqft data'!C:C, "Not Found")</f>
        <v>600</v>
      </c>
      <c r="C620">
        <f>_xlfn.XLOOKUP(A620, 'bedroom data'!A:A, 'bedroom data'!B:B, "Not Found")</f>
        <v>1</v>
      </c>
      <c r="D620">
        <f>_xlfn.XLOOKUP(A620, 'bathroom data'!A:A, 'bathroom data'!B:B, "Not Found")</f>
        <v>1</v>
      </c>
      <c r="E620" t="str">
        <f>_xlfn.XLOOKUP(A620, 'bedroom data'!A:A, 'bedroom data'!C:C, "Not Found")</f>
        <v>Dupont Circle</v>
      </c>
      <c r="F620" t="s">
        <v>950</v>
      </c>
      <c r="G620" t="s">
        <v>951</v>
      </c>
      <c r="H620" t="s">
        <v>407</v>
      </c>
      <c r="I620">
        <v>105</v>
      </c>
      <c r="J620" t="s">
        <v>825</v>
      </c>
      <c r="K620" t="s">
        <v>13</v>
      </c>
      <c r="L620" t="s">
        <v>13</v>
      </c>
    </row>
    <row r="621" spans="1:12" x14ac:dyDescent="0.5">
      <c r="A621" t="s">
        <v>949</v>
      </c>
      <c r="B621">
        <f>_xlfn.XLOOKUP(A621, 'sqft data'!A:A, 'sqft data'!C:C, "Not Found")</f>
        <v>600</v>
      </c>
      <c r="C621">
        <f>_xlfn.XLOOKUP(A621, 'bedroom data'!A:A, 'bedroom data'!B:B, "Not Found")</f>
        <v>1</v>
      </c>
      <c r="D621">
        <f>_xlfn.XLOOKUP(A621, 'bathroom data'!A:A, 'bathroom data'!B:B, "Not Found")</f>
        <v>1</v>
      </c>
      <c r="E621" t="str">
        <f>_xlfn.XLOOKUP(A621, 'bedroom data'!A:A, 'bedroom data'!C:C, "Not Found")</f>
        <v>Dupont Circle</v>
      </c>
      <c r="F621" t="s">
        <v>950</v>
      </c>
      <c r="G621" t="s">
        <v>252</v>
      </c>
      <c r="H621" t="s">
        <v>287</v>
      </c>
      <c r="I621">
        <v>105</v>
      </c>
      <c r="J621" t="s">
        <v>369</v>
      </c>
      <c r="K621" t="s">
        <v>13</v>
      </c>
      <c r="L621" t="s">
        <v>13</v>
      </c>
    </row>
    <row r="622" spans="1:12" x14ac:dyDescent="0.5">
      <c r="A622" t="s">
        <v>949</v>
      </c>
      <c r="B622">
        <f>_xlfn.XLOOKUP(A622, 'sqft data'!A:A, 'sqft data'!C:C, "Not Found")</f>
        <v>600</v>
      </c>
      <c r="C622">
        <f>_xlfn.XLOOKUP(A622, 'bedroom data'!A:A, 'bedroom data'!B:B, "Not Found")</f>
        <v>1</v>
      </c>
      <c r="D622">
        <f>_xlfn.XLOOKUP(A622, 'bathroom data'!A:A, 'bathroom data'!B:B, "Not Found")</f>
        <v>1</v>
      </c>
      <c r="E622" t="str">
        <f>_xlfn.XLOOKUP(A622, 'bedroom data'!A:A, 'bedroom data'!C:C, "Not Found")</f>
        <v>Dupont Circle</v>
      </c>
      <c r="F622" t="s">
        <v>950</v>
      </c>
      <c r="G622" t="s">
        <v>504</v>
      </c>
      <c r="H622" t="s">
        <v>478</v>
      </c>
      <c r="I622">
        <v>105</v>
      </c>
      <c r="J622" t="s">
        <v>399</v>
      </c>
      <c r="K622" t="s">
        <v>36</v>
      </c>
      <c r="L622" t="s">
        <v>36</v>
      </c>
    </row>
    <row r="623" spans="1:12" x14ac:dyDescent="0.5">
      <c r="A623" t="s">
        <v>949</v>
      </c>
      <c r="B623">
        <f>_xlfn.XLOOKUP(A623, 'sqft data'!A:A, 'sqft data'!C:C, "Not Found")</f>
        <v>600</v>
      </c>
      <c r="C623">
        <f>_xlfn.XLOOKUP(A623, 'bedroom data'!A:A, 'bedroom data'!B:B, "Not Found")</f>
        <v>1</v>
      </c>
      <c r="D623">
        <f>_xlfn.XLOOKUP(A623, 'bathroom data'!A:A, 'bathroom data'!B:B, "Not Found")</f>
        <v>1</v>
      </c>
      <c r="E623" t="str">
        <f>_xlfn.XLOOKUP(A623, 'bedroom data'!A:A, 'bedroom data'!C:C, "Not Found")</f>
        <v>Dupont Circle</v>
      </c>
      <c r="F623" t="s">
        <v>950</v>
      </c>
      <c r="G623" t="s">
        <v>650</v>
      </c>
      <c r="H623" t="s">
        <v>175</v>
      </c>
      <c r="I623">
        <v>105</v>
      </c>
      <c r="J623" t="s">
        <v>872</v>
      </c>
      <c r="K623" t="s">
        <v>13</v>
      </c>
      <c r="L623" t="s">
        <v>13</v>
      </c>
    </row>
    <row r="624" spans="1:12" x14ac:dyDescent="0.5">
      <c r="A624" t="s">
        <v>952</v>
      </c>
      <c r="B624">
        <f>_xlfn.XLOOKUP(A624, 'sqft data'!A:A, 'sqft data'!C:C, "Not Found")</f>
        <v>500</v>
      </c>
      <c r="C624">
        <f>_xlfn.XLOOKUP(A624, 'bedroom data'!A:A, 'bedroom data'!B:B, "Not Found")</f>
        <v>1</v>
      </c>
      <c r="D624">
        <f>_xlfn.XLOOKUP(A624, 'bathroom data'!A:A, 'bathroom data'!B:B, "Not Found")</f>
        <v>1</v>
      </c>
      <c r="E624" t="str">
        <f>_xlfn.XLOOKUP(A624, 'bedroom data'!A:A, 'bedroom data'!C:C, "Not Found")</f>
        <v>Dupont Circle</v>
      </c>
      <c r="F624" t="s">
        <v>950</v>
      </c>
      <c r="G624" t="s">
        <v>690</v>
      </c>
      <c r="H624" t="s">
        <v>531</v>
      </c>
      <c r="I624">
        <v>106.66</v>
      </c>
      <c r="J624" t="s">
        <v>953</v>
      </c>
      <c r="K624" t="s">
        <v>13</v>
      </c>
      <c r="L624" t="s">
        <v>13</v>
      </c>
    </row>
    <row r="625" spans="1:12" x14ac:dyDescent="0.5">
      <c r="A625" t="s">
        <v>952</v>
      </c>
      <c r="B625">
        <f>_xlfn.XLOOKUP(A625, 'sqft data'!A:A, 'sqft data'!C:C, "Not Found")</f>
        <v>500</v>
      </c>
      <c r="C625">
        <f>_xlfn.XLOOKUP(A625, 'bedroom data'!A:A, 'bedroom data'!B:B, "Not Found")</f>
        <v>1</v>
      </c>
      <c r="D625">
        <f>_xlfn.XLOOKUP(A625, 'bathroom data'!A:A, 'bathroom data'!B:B, "Not Found")</f>
        <v>1</v>
      </c>
      <c r="E625" t="str">
        <f>_xlfn.XLOOKUP(A625, 'bedroom data'!A:A, 'bedroom data'!C:C, "Not Found")</f>
        <v>Dupont Circle</v>
      </c>
      <c r="F625" t="s">
        <v>950</v>
      </c>
      <c r="G625" t="s">
        <v>103</v>
      </c>
      <c r="H625" t="s">
        <v>25</v>
      </c>
      <c r="I625">
        <v>133</v>
      </c>
      <c r="J625" t="s">
        <v>400</v>
      </c>
      <c r="K625" t="s">
        <v>13</v>
      </c>
      <c r="L625" t="s">
        <v>13</v>
      </c>
    </row>
    <row r="626" spans="1:12" x14ac:dyDescent="0.5">
      <c r="A626" t="s">
        <v>952</v>
      </c>
      <c r="B626">
        <f>_xlfn.XLOOKUP(A626, 'sqft data'!A:A, 'sqft data'!C:C, "Not Found")</f>
        <v>500</v>
      </c>
      <c r="C626">
        <f>_xlfn.XLOOKUP(A626, 'bedroom data'!A:A, 'bedroom data'!B:B, "Not Found")</f>
        <v>1</v>
      </c>
      <c r="D626">
        <f>_xlfn.XLOOKUP(A626, 'bathroom data'!A:A, 'bathroom data'!B:B, "Not Found")</f>
        <v>1</v>
      </c>
      <c r="E626" t="str">
        <f>_xlfn.XLOOKUP(A626, 'bedroom data'!A:A, 'bedroom data'!C:C, "Not Found")</f>
        <v>Dupont Circle</v>
      </c>
      <c r="F626" t="s">
        <v>950</v>
      </c>
      <c r="G626" t="s">
        <v>402</v>
      </c>
      <c r="H626" t="s">
        <v>34</v>
      </c>
      <c r="I626">
        <v>122</v>
      </c>
      <c r="J626" t="s">
        <v>292</v>
      </c>
      <c r="K626" t="s">
        <v>13</v>
      </c>
      <c r="L626" t="s">
        <v>36</v>
      </c>
    </row>
    <row r="627" spans="1:12" x14ac:dyDescent="0.5">
      <c r="A627" t="s">
        <v>952</v>
      </c>
      <c r="B627">
        <f>_xlfn.XLOOKUP(A627, 'sqft data'!A:A, 'sqft data'!C:C, "Not Found")</f>
        <v>500</v>
      </c>
      <c r="C627">
        <f>_xlfn.XLOOKUP(A627, 'bedroom data'!A:A, 'bedroom data'!B:B, "Not Found")</f>
        <v>1</v>
      </c>
      <c r="D627">
        <f>_xlfn.XLOOKUP(A627, 'bathroom data'!A:A, 'bathroom data'!B:B, "Not Found")</f>
        <v>1</v>
      </c>
      <c r="E627" t="str">
        <f>_xlfn.XLOOKUP(A627, 'bedroom data'!A:A, 'bedroom data'!C:C, "Not Found")</f>
        <v>Dupont Circle</v>
      </c>
      <c r="F627" t="s">
        <v>950</v>
      </c>
      <c r="G627" t="s">
        <v>954</v>
      </c>
      <c r="H627" t="s">
        <v>902</v>
      </c>
      <c r="I627">
        <v>125</v>
      </c>
      <c r="J627" t="s">
        <v>821</v>
      </c>
      <c r="K627" t="s">
        <v>13</v>
      </c>
      <c r="L627" t="s">
        <v>13</v>
      </c>
    </row>
    <row r="628" spans="1:12" x14ac:dyDescent="0.5">
      <c r="A628" t="s">
        <v>952</v>
      </c>
      <c r="B628">
        <f>_xlfn.XLOOKUP(A628, 'sqft data'!A:A, 'sqft data'!C:C, "Not Found")</f>
        <v>500</v>
      </c>
      <c r="C628">
        <f>_xlfn.XLOOKUP(A628, 'bedroom data'!A:A, 'bedroom data'!B:B, "Not Found")</f>
        <v>1</v>
      </c>
      <c r="D628">
        <f>_xlfn.XLOOKUP(A628, 'bathroom data'!A:A, 'bathroom data'!B:B, "Not Found")</f>
        <v>1</v>
      </c>
      <c r="E628" t="str">
        <f>_xlfn.XLOOKUP(A628, 'bedroom data'!A:A, 'bedroom data'!C:C, "Not Found")</f>
        <v>Dupont Circle</v>
      </c>
      <c r="F628" t="s">
        <v>950</v>
      </c>
      <c r="G628" t="s">
        <v>105</v>
      </c>
      <c r="H628" t="s">
        <v>253</v>
      </c>
      <c r="I628">
        <v>123</v>
      </c>
      <c r="J628" t="s">
        <v>573</v>
      </c>
      <c r="K628" t="s">
        <v>13</v>
      </c>
      <c r="L628" t="s">
        <v>13</v>
      </c>
    </row>
    <row r="629" spans="1:12" x14ac:dyDescent="0.5">
      <c r="A629" t="s">
        <v>955</v>
      </c>
      <c r="B629">
        <f>_xlfn.XLOOKUP(A629, 'sqft data'!A:A, 'sqft data'!C:C, "Not Found")</f>
        <v>500</v>
      </c>
      <c r="C629">
        <f>_xlfn.XLOOKUP(A629, 'bedroom data'!A:A, 'bedroom data'!B:B, "Not Found")</f>
        <v>1</v>
      </c>
      <c r="D629">
        <f>_xlfn.XLOOKUP(A629, 'bathroom data'!A:A, 'bathroom data'!B:B, "Not Found")</f>
        <v>1</v>
      </c>
      <c r="E629" t="str">
        <f>_xlfn.XLOOKUP(A629, 'bedroom data'!A:A, 'bedroom data'!C:C, "Not Found")</f>
        <v>Dupont Circle</v>
      </c>
      <c r="F629" t="s">
        <v>950</v>
      </c>
      <c r="G629" t="s">
        <v>956</v>
      </c>
      <c r="H629" t="s">
        <v>290</v>
      </c>
      <c r="I629">
        <v>116</v>
      </c>
      <c r="J629" t="s">
        <v>957</v>
      </c>
      <c r="K629" t="s">
        <v>13</v>
      </c>
      <c r="L629" t="s">
        <v>36</v>
      </c>
    </row>
    <row r="630" spans="1:12" x14ac:dyDescent="0.5">
      <c r="A630" t="s">
        <v>955</v>
      </c>
      <c r="B630">
        <f>_xlfn.XLOOKUP(A630, 'sqft data'!A:A, 'sqft data'!C:C, "Not Found")</f>
        <v>500</v>
      </c>
      <c r="C630">
        <f>_xlfn.XLOOKUP(A630, 'bedroom data'!A:A, 'bedroom data'!B:B, "Not Found")</f>
        <v>1</v>
      </c>
      <c r="D630">
        <f>_xlfn.XLOOKUP(A630, 'bathroom data'!A:A, 'bathroom data'!B:B, "Not Found")</f>
        <v>1</v>
      </c>
      <c r="E630" t="str">
        <f>_xlfn.XLOOKUP(A630, 'bedroom data'!A:A, 'bedroom data'!C:C, "Not Found")</f>
        <v>Dupont Circle</v>
      </c>
      <c r="F630" t="s">
        <v>950</v>
      </c>
      <c r="G630" t="s">
        <v>333</v>
      </c>
      <c r="H630" t="s">
        <v>333</v>
      </c>
      <c r="I630">
        <v>116</v>
      </c>
      <c r="J630" t="s">
        <v>396</v>
      </c>
      <c r="K630" t="s">
        <v>13</v>
      </c>
      <c r="L630" t="s">
        <v>13</v>
      </c>
    </row>
    <row r="631" spans="1:12" x14ac:dyDescent="0.5">
      <c r="A631" t="s">
        <v>955</v>
      </c>
      <c r="B631">
        <f>_xlfn.XLOOKUP(A631, 'sqft data'!A:A, 'sqft data'!C:C, "Not Found")</f>
        <v>500</v>
      </c>
      <c r="C631">
        <f>_xlfn.XLOOKUP(A631, 'bedroom data'!A:A, 'bedroom data'!B:B, "Not Found")</f>
        <v>1</v>
      </c>
      <c r="D631">
        <f>_xlfn.XLOOKUP(A631, 'bathroom data'!A:A, 'bathroom data'!B:B, "Not Found")</f>
        <v>1</v>
      </c>
      <c r="E631" t="str">
        <f>_xlfn.XLOOKUP(A631, 'bedroom data'!A:A, 'bedroom data'!C:C, "Not Found")</f>
        <v>Dupont Circle</v>
      </c>
      <c r="F631" t="s">
        <v>950</v>
      </c>
      <c r="G631" t="s">
        <v>333</v>
      </c>
      <c r="H631" t="s">
        <v>40</v>
      </c>
      <c r="I631">
        <v>116</v>
      </c>
      <c r="J631" t="s">
        <v>235</v>
      </c>
      <c r="K631" t="s">
        <v>13</v>
      </c>
      <c r="L631" t="s">
        <v>13</v>
      </c>
    </row>
    <row r="632" spans="1:12" x14ac:dyDescent="0.5">
      <c r="A632" t="s">
        <v>955</v>
      </c>
      <c r="B632">
        <f>_xlfn.XLOOKUP(A632, 'sqft data'!A:A, 'sqft data'!C:C, "Not Found")</f>
        <v>500</v>
      </c>
      <c r="C632">
        <f>_xlfn.XLOOKUP(A632, 'bedroom data'!A:A, 'bedroom data'!B:B, "Not Found")</f>
        <v>1</v>
      </c>
      <c r="D632">
        <f>_xlfn.XLOOKUP(A632, 'bathroom data'!A:A, 'bathroom data'!B:B, "Not Found")</f>
        <v>1</v>
      </c>
      <c r="E632" t="str">
        <f>_xlfn.XLOOKUP(A632, 'bedroom data'!A:A, 'bedroom data'!C:C, "Not Found")</f>
        <v>Dupont Circle</v>
      </c>
      <c r="F632" t="s">
        <v>950</v>
      </c>
      <c r="G632" t="s">
        <v>333</v>
      </c>
      <c r="H632" t="s">
        <v>534</v>
      </c>
      <c r="I632">
        <v>116</v>
      </c>
      <c r="J632" t="s">
        <v>136</v>
      </c>
      <c r="K632" t="s">
        <v>13</v>
      </c>
      <c r="L632" t="s">
        <v>13</v>
      </c>
    </row>
    <row r="633" spans="1:12" x14ac:dyDescent="0.5">
      <c r="A633" t="s">
        <v>958</v>
      </c>
      <c r="B633">
        <f>_xlfn.XLOOKUP(A633, 'sqft data'!A:A, 'sqft data'!C:C, "Not Found")</f>
        <v>500</v>
      </c>
      <c r="C633">
        <f>_xlfn.XLOOKUP(A633, 'bedroom data'!A:A, 'bedroom data'!B:B, "Not Found")</f>
        <v>1</v>
      </c>
      <c r="D633">
        <f>_xlfn.XLOOKUP(A633, 'bathroom data'!A:A, 'bathroom data'!B:B, "Not Found")</f>
        <v>1</v>
      </c>
      <c r="E633" t="str">
        <f>_xlfn.XLOOKUP(A633, 'bedroom data'!A:A, 'bedroom data'!C:C, "Not Found")</f>
        <v>Dupont Circle</v>
      </c>
      <c r="F633" t="s">
        <v>950</v>
      </c>
      <c r="G633" t="s">
        <v>463</v>
      </c>
      <c r="H633" t="s">
        <v>282</v>
      </c>
      <c r="I633">
        <v>115</v>
      </c>
      <c r="J633" t="s">
        <v>842</v>
      </c>
      <c r="K633" t="s">
        <v>13</v>
      </c>
      <c r="L633" t="s">
        <v>13</v>
      </c>
    </row>
    <row r="634" spans="1:12" x14ac:dyDescent="0.5">
      <c r="A634" t="s">
        <v>958</v>
      </c>
      <c r="B634">
        <f>_xlfn.XLOOKUP(A634, 'sqft data'!A:A, 'sqft data'!C:C, "Not Found")</f>
        <v>500</v>
      </c>
      <c r="C634">
        <f>_xlfn.XLOOKUP(A634, 'bedroom data'!A:A, 'bedroom data'!B:B, "Not Found")</f>
        <v>1</v>
      </c>
      <c r="D634">
        <f>_xlfn.XLOOKUP(A634, 'bathroom data'!A:A, 'bathroom data'!B:B, "Not Found")</f>
        <v>1</v>
      </c>
      <c r="E634" t="str">
        <f>_xlfn.XLOOKUP(A634, 'bedroom data'!A:A, 'bedroom data'!C:C, "Not Found")</f>
        <v>Dupont Circle</v>
      </c>
      <c r="F634" t="s">
        <v>950</v>
      </c>
      <c r="G634" t="s">
        <v>99</v>
      </c>
      <c r="H634" t="s">
        <v>40</v>
      </c>
      <c r="I634">
        <v>115</v>
      </c>
      <c r="J634" t="s">
        <v>245</v>
      </c>
      <c r="K634" t="s">
        <v>13</v>
      </c>
      <c r="L634" t="s">
        <v>36</v>
      </c>
    </row>
    <row r="635" spans="1:12" x14ac:dyDescent="0.5">
      <c r="A635" t="s">
        <v>958</v>
      </c>
      <c r="B635">
        <f>_xlfn.XLOOKUP(A635, 'sqft data'!A:A, 'sqft data'!C:C, "Not Found")</f>
        <v>500</v>
      </c>
      <c r="C635">
        <f>_xlfn.XLOOKUP(A635, 'bedroom data'!A:A, 'bedroom data'!B:B, "Not Found")</f>
        <v>1</v>
      </c>
      <c r="D635">
        <f>_xlfn.XLOOKUP(A635, 'bathroom data'!A:A, 'bathroom data'!B:B, "Not Found")</f>
        <v>1</v>
      </c>
      <c r="E635" t="str">
        <f>_xlfn.XLOOKUP(A635, 'bedroom data'!A:A, 'bedroom data'!C:C, "Not Found")</f>
        <v>Dupont Circle</v>
      </c>
      <c r="F635" t="s">
        <v>950</v>
      </c>
      <c r="G635" t="s">
        <v>214</v>
      </c>
      <c r="H635" t="s">
        <v>173</v>
      </c>
      <c r="I635">
        <v>115</v>
      </c>
      <c r="J635" t="s">
        <v>959</v>
      </c>
      <c r="K635" t="s">
        <v>13</v>
      </c>
      <c r="L635" t="s">
        <v>13</v>
      </c>
    </row>
    <row r="636" spans="1:12" x14ac:dyDescent="0.5">
      <c r="A636" t="s">
        <v>958</v>
      </c>
      <c r="B636">
        <f>_xlfn.XLOOKUP(A636, 'sqft data'!A:A, 'sqft data'!C:C, "Not Found")</f>
        <v>500</v>
      </c>
      <c r="C636">
        <f>_xlfn.XLOOKUP(A636, 'bedroom data'!A:A, 'bedroom data'!B:B, "Not Found")</f>
        <v>1</v>
      </c>
      <c r="D636">
        <f>_xlfn.XLOOKUP(A636, 'bathroom data'!A:A, 'bathroom data'!B:B, "Not Found")</f>
        <v>1</v>
      </c>
      <c r="E636" t="str">
        <f>_xlfn.XLOOKUP(A636, 'bedroom data'!A:A, 'bedroom data'!C:C, "Not Found")</f>
        <v>Dupont Circle</v>
      </c>
      <c r="F636" t="s">
        <v>950</v>
      </c>
      <c r="G636" t="s">
        <v>118</v>
      </c>
      <c r="H636" t="s">
        <v>918</v>
      </c>
      <c r="I636">
        <v>94.78</v>
      </c>
      <c r="J636" t="s">
        <v>872</v>
      </c>
      <c r="K636" t="s">
        <v>13</v>
      </c>
      <c r="L636" t="s">
        <v>36</v>
      </c>
    </row>
    <row r="637" spans="1:12" x14ac:dyDescent="0.5">
      <c r="A637" t="s">
        <v>960</v>
      </c>
      <c r="B637">
        <f>_xlfn.XLOOKUP(A637, 'sqft data'!A:A, 'sqft data'!C:C, "Not Found")</f>
        <v>500</v>
      </c>
      <c r="C637" t="str">
        <f>_xlfn.XLOOKUP(A637, 'bedroom data'!A:A, 'bedroom data'!B:B, "Not Found")</f>
        <v>Studio</v>
      </c>
      <c r="D637">
        <f>_xlfn.XLOOKUP(A637, 'bathroom data'!A:A, 'bathroom data'!B:B, "Not Found")</f>
        <v>1</v>
      </c>
      <c r="E637" t="str">
        <f>_xlfn.XLOOKUP(A637, 'bedroom data'!A:A, 'bedroom data'!C:C, "Not Found")</f>
        <v>Dupont Circle</v>
      </c>
      <c r="F637" t="s">
        <v>950</v>
      </c>
      <c r="G637" t="s">
        <v>388</v>
      </c>
      <c r="H637" t="s">
        <v>700</v>
      </c>
      <c r="I637">
        <v>110</v>
      </c>
      <c r="J637" t="s">
        <v>388</v>
      </c>
      <c r="K637" t="s">
        <v>13</v>
      </c>
      <c r="L637" t="s">
        <v>13</v>
      </c>
    </row>
    <row r="638" spans="1:12" x14ac:dyDescent="0.5">
      <c r="A638" t="s">
        <v>960</v>
      </c>
      <c r="B638">
        <f>_xlfn.XLOOKUP(A638, 'sqft data'!A:A, 'sqft data'!C:C, "Not Found")</f>
        <v>500</v>
      </c>
      <c r="C638" t="str">
        <f>_xlfn.XLOOKUP(A638, 'bedroom data'!A:A, 'bedroom data'!B:B, "Not Found")</f>
        <v>Studio</v>
      </c>
      <c r="D638">
        <f>_xlfn.XLOOKUP(A638, 'bathroom data'!A:A, 'bathroom data'!B:B, "Not Found")</f>
        <v>1</v>
      </c>
      <c r="E638" t="str">
        <f>_xlfn.XLOOKUP(A638, 'bedroom data'!A:A, 'bedroom data'!C:C, "Not Found")</f>
        <v>Dupont Circle</v>
      </c>
      <c r="F638" t="s">
        <v>950</v>
      </c>
      <c r="G638" t="s">
        <v>472</v>
      </c>
      <c r="H638" t="s">
        <v>903</v>
      </c>
      <c r="I638">
        <v>82.5</v>
      </c>
      <c r="J638" t="s">
        <v>79</v>
      </c>
      <c r="K638" t="s">
        <v>13</v>
      </c>
      <c r="L638" t="s">
        <v>13</v>
      </c>
    </row>
    <row r="639" spans="1:12" x14ac:dyDescent="0.5">
      <c r="A639" t="s">
        <v>960</v>
      </c>
      <c r="B639">
        <f>_xlfn.XLOOKUP(A639, 'sqft data'!A:A, 'sqft data'!C:C, "Not Found")</f>
        <v>500</v>
      </c>
      <c r="C639" t="str">
        <f>_xlfn.XLOOKUP(A639, 'bedroom data'!A:A, 'bedroom data'!B:B, "Not Found")</f>
        <v>Studio</v>
      </c>
      <c r="D639">
        <f>_xlfn.XLOOKUP(A639, 'bathroom data'!A:A, 'bathroom data'!B:B, "Not Found")</f>
        <v>1</v>
      </c>
      <c r="E639" t="str">
        <f>_xlfn.XLOOKUP(A639, 'bedroom data'!A:A, 'bedroom data'!C:C, "Not Found")</f>
        <v>Dupont Circle</v>
      </c>
      <c r="F639" t="s">
        <v>950</v>
      </c>
      <c r="G639" t="s">
        <v>221</v>
      </c>
      <c r="H639" t="s">
        <v>585</v>
      </c>
      <c r="I639">
        <v>105</v>
      </c>
      <c r="J639" t="s">
        <v>96</v>
      </c>
      <c r="K639" t="s">
        <v>13</v>
      </c>
      <c r="L639" t="s">
        <v>13</v>
      </c>
    </row>
    <row r="640" spans="1:12" x14ac:dyDescent="0.5">
      <c r="A640" t="s">
        <v>961</v>
      </c>
      <c r="B640">
        <f>_xlfn.XLOOKUP(A640, 'sqft data'!A:A, 'sqft data'!C:C, "Not Found")</f>
        <v>950</v>
      </c>
      <c r="C640">
        <f>_xlfn.XLOOKUP(A640, 'bedroom data'!A:A, 'bedroom data'!B:B, "Not Found")</f>
        <v>1</v>
      </c>
      <c r="D640">
        <f>_xlfn.XLOOKUP(A640, 'bathroom data'!A:A, 'bathroom data'!B:B, "Not Found")</f>
        <v>1</v>
      </c>
      <c r="E640" t="str">
        <f>_xlfn.XLOOKUP(A640, 'bedroom data'!A:A, 'bedroom data'!C:C, "Not Found")</f>
        <v>Dupont Circle</v>
      </c>
      <c r="F640" t="s">
        <v>325</v>
      </c>
      <c r="G640" t="s">
        <v>962</v>
      </c>
      <c r="H640" t="s">
        <v>666</v>
      </c>
      <c r="I640">
        <v>110</v>
      </c>
      <c r="J640" t="s">
        <v>872</v>
      </c>
      <c r="K640" t="s">
        <v>13</v>
      </c>
      <c r="L640" t="s">
        <v>13</v>
      </c>
    </row>
    <row r="641" spans="1:12" x14ac:dyDescent="0.5">
      <c r="A641" t="s">
        <v>961</v>
      </c>
      <c r="B641">
        <f>_xlfn.XLOOKUP(A641, 'sqft data'!A:A, 'sqft data'!C:C, "Not Found")</f>
        <v>950</v>
      </c>
      <c r="C641">
        <f>_xlfn.XLOOKUP(A641, 'bedroom data'!A:A, 'bedroom data'!B:B, "Not Found")</f>
        <v>1</v>
      </c>
      <c r="D641">
        <f>_xlfn.XLOOKUP(A641, 'bathroom data'!A:A, 'bathroom data'!B:B, "Not Found")</f>
        <v>1</v>
      </c>
      <c r="E641" t="str">
        <f>_xlfn.XLOOKUP(A641, 'bedroom data'!A:A, 'bedroom data'!C:C, "Not Found")</f>
        <v>Dupont Circle</v>
      </c>
      <c r="F641" t="s">
        <v>325</v>
      </c>
      <c r="G641" t="s">
        <v>451</v>
      </c>
      <c r="H641" t="s">
        <v>105</v>
      </c>
      <c r="I641">
        <v>109</v>
      </c>
      <c r="J641" t="s">
        <v>472</v>
      </c>
      <c r="K641" t="s">
        <v>13</v>
      </c>
      <c r="L641" t="s">
        <v>13</v>
      </c>
    </row>
    <row r="642" spans="1:12" x14ac:dyDescent="0.5">
      <c r="A642" t="s">
        <v>961</v>
      </c>
      <c r="B642">
        <f>_xlfn.XLOOKUP(A642, 'sqft data'!A:A, 'sqft data'!C:C, "Not Found")</f>
        <v>950</v>
      </c>
      <c r="C642">
        <f>_xlfn.XLOOKUP(A642, 'bedroom data'!A:A, 'bedroom data'!B:B, "Not Found")</f>
        <v>1</v>
      </c>
      <c r="D642">
        <f>_xlfn.XLOOKUP(A642, 'bathroom data'!A:A, 'bathroom data'!B:B, "Not Found")</f>
        <v>1</v>
      </c>
      <c r="E642" t="str">
        <f>_xlfn.XLOOKUP(A642, 'bedroom data'!A:A, 'bedroom data'!C:C, "Not Found")</f>
        <v>Dupont Circle</v>
      </c>
      <c r="F642" t="s">
        <v>325</v>
      </c>
      <c r="G642" t="s">
        <v>136</v>
      </c>
      <c r="H642" t="s">
        <v>615</v>
      </c>
      <c r="I642">
        <v>109</v>
      </c>
      <c r="J642" t="s">
        <v>642</v>
      </c>
      <c r="K642" t="s">
        <v>13</v>
      </c>
      <c r="L642" t="s">
        <v>13</v>
      </c>
    </row>
    <row r="643" spans="1:12" x14ac:dyDescent="0.5">
      <c r="A643" t="s">
        <v>963</v>
      </c>
      <c r="B643">
        <f>_xlfn.XLOOKUP(A643, 'sqft data'!A:A, 'sqft data'!C:C, "Not Found")</f>
        <v>2200</v>
      </c>
      <c r="C643">
        <f>_xlfn.XLOOKUP(A643, 'bedroom data'!A:A, 'bedroom data'!B:B, "Not Found")</f>
        <v>2</v>
      </c>
      <c r="D643">
        <f>_xlfn.XLOOKUP(A643, 'bathroom data'!A:A, 'bathroom data'!B:B, "Not Found")</f>
        <v>2.5</v>
      </c>
      <c r="E643" t="str">
        <f>_xlfn.XLOOKUP(A643, 'bedroom data'!A:A, 'bedroom data'!C:C, "Not Found")</f>
        <v>Dupont Circle</v>
      </c>
      <c r="F643" t="s">
        <v>325</v>
      </c>
      <c r="G643" t="s">
        <v>665</v>
      </c>
      <c r="H643" t="s">
        <v>219</v>
      </c>
      <c r="I643">
        <v>0</v>
      </c>
      <c r="J643" t="s">
        <v>665</v>
      </c>
      <c r="K643" t="s">
        <v>13</v>
      </c>
      <c r="L643" t="s">
        <v>13</v>
      </c>
    </row>
    <row r="644" spans="1:12" x14ac:dyDescent="0.5">
      <c r="A644" t="s">
        <v>963</v>
      </c>
      <c r="B644">
        <f>_xlfn.XLOOKUP(A644, 'sqft data'!A:A, 'sqft data'!C:C, "Not Found")</f>
        <v>2200</v>
      </c>
      <c r="C644">
        <f>_xlfn.XLOOKUP(A644, 'bedroom data'!A:A, 'bedroom data'!B:B, "Not Found")</f>
        <v>2</v>
      </c>
      <c r="D644">
        <f>_xlfn.XLOOKUP(A644, 'bathroom data'!A:A, 'bathroom data'!B:B, "Not Found")</f>
        <v>2.5</v>
      </c>
      <c r="E644" t="str">
        <f>_xlfn.XLOOKUP(A644, 'bedroom data'!A:A, 'bedroom data'!C:C, "Not Found")</f>
        <v>Dupont Circle</v>
      </c>
      <c r="F644" t="s">
        <v>325</v>
      </c>
      <c r="G644" t="s">
        <v>964</v>
      </c>
      <c r="H644" t="s">
        <v>965</v>
      </c>
      <c r="I644">
        <v>215</v>
      </c>
      <c r="J644" t="s">
        <v>666</v>
      </c>
      <c r="K644" t="s">
        <v>13</v>
      </c>
      <c r="L644" t="s">
        <v>13</v>
      </c>
    </row>
    <row r="645" spans="1:12" x14ac:dyDescent="0.5">
      <c r="A645" t="s">
        <v>966</v>
      </c>
      <c r="B645">
        <f>_xlfn.XLOOKUP(A645, 'sqft data'!A:A, 'sqft data'!C:C, "Not Found")</f>
        <v>750</v>
      </c>
      <c r="C645">
        <f>_xlfn.XLOOKUP(A645, 'bedroom data'!A:A, 'bedroom data'!B:B, "Not Found")</f>
        <v>1</v>
      </c>
      <c r="D645">
        <f>_xlfn.XLOOKUP(A645, 'bathroom data'!A:A, 'bathroom data'!B:B, "Not Found")</f>
        <v>1</v>
      </c>
      <c r="E645" t="str">
        <f>_xlfn.XLOOKUP(A645, 'bedroom data'!A:A, 'bedroom data'!C:C, "Not Found")</f>
        <v>Dupont Circle</v>
      </c>
      <c r="F645" t="s">
        <v>967</v>
      </c>
      <c r="G645" t="s">
        <v>968</v>
      </c>
      <c r="H645" t="s">
        <v>478</v>
      </c>
      <c r="I645">
        <v>110</v>
      </c>
      <c r="J645" t="s">
        <v>969</v>
      </c>
      <c r="K645" t="s">
        <v>13</v>
      </c>
      <c r="L645" t="s">
        <v>13</v>
      </c>
    </row>
    <row r="646" spans="1:12" x14ac:dyDescent="0.5">
      <c r="A646" t="s">
        <v>966</v>
      </c>
      <c r="B646">
        <f>_xlfn.XLOOKUP(A646, 'sqft data'!A:A, 'sqft data'!C:C, "Not Found")</f>
        <v>750</v>
      </c>
      <c r="C646">
        <f>_xlfn.XLOOKUP(A646, 'bedroom data'!A:A, 'bedroom data'!B:B, "Not Found")</f>
        <v>1</v>
      </c>
      <c r="D646">
        <f>_xlfn.XLOOKUP(A646, 'bathroom data'!A:A, 'bathroom data'!B:B, "Not Found")</f>
        <v>1</v>
      </c>
      <c r="E646" t="str">
        <f>_xlfn.XLOOKUP(A646, 'bedroom data'!A:A, 'bedroom data'!C:C, "Not Found")</f>
        <v>Dupont Circle</v>
      </c>
      <c r="F646" t="s">
        <v>967</v>
      </c>
      <c r="G646" t="s">
        <v>478</v>
      </c>
      <c r="H646" t="s">
        <v>693</v>
      </c>
      <c r="I646">
        <v>114</v>
      </c>
      <c r="J646" t="s">
        <v>67</v>
      </c>
      <c r="K646" t="s">
        <v>13</v>
      </c>
      <c r="L646" t="s">
        <v>13</v>
      </c>
    </row>
    <row r="647" spans="1:12" x14ac:dyDescent="0.5">
      <c r="A647" t="s">
        <v>966</v>
      </c>
      <c r="B647">
        <f>_xlfn.XLOOKUP(A647, 'sqft data'!A:A, 'sqft data'!C:C, "Not Found")</f>
        <v>750</v>
      </c>
      <c r="C647">
        <f>_xlfn.XLOOKUP(A647, 'bedroom data'!A:A, 'bedroom data'!B:B, "Not Found")</f>
        <v>1</v>
      </c>
      <c r="D647">
        <f>_xlfn.XLOOKUP(A647, 'bathroom data'!A:A, 'bathroom data'!B:B, "Not Found")</f>
        <v>1</v>
      </c>
      <c r="E647" t="str">
        <f>_xlfn.XLOOKUP(A647, 'bedroom data'!A:A, 'bedroom data'!C:C, "Not Found")</f>
        <v>Dupont Circle</v>
      </c>
      <c r="F647" t="s">
        <v>967</v>
      </c>
      <c r="G647" t="s">
        <v>693</v>
      </c>
      <c r="H647" t="s">
        <v>970</v>
      </c>
      <c r="I647">
        <v>0</v>
      </c>
      <c r="J647" t="s">
        <v>806</v>
      </c>
      <c r="K647" t="s">
        <v>13</v>
      </c>
      <c r="L647" t="s">
        <v>13</v>
      </c>
    </row>
    <row r="648" spans="1:12" x14ac:dyDescent="0.5">
      <c r="A648" t="s">
        <v>971</v>
      </c>
      <c r="B648" t="str">
        <f>_xlfn.XLOOKUP(A648, 'sqft data'!A:A, 'sqft data'!C:C, "Not Found")</f>
        <v>Not Found</v>
      </c>
      <c r="C648">
        <f>_xlfn.XLOOKUP(A648, 'bedroom data'!A:A, 'bedroom data'!B:B, "Not Found")</f>
        <v>1</v>
      </c>
      <c r="D648">
        <f>_xlfn.XLOOKUP(A648, 'bathroom data'!A:A, 'bathroom data'!B:B, "Not Found")</f>
        <v>1</v>
      </c>
      <c r="E648" t="str">
        <f>_xlfn.XLOOKUP(A648, 'bedroom data'!A:A, 'bedroom data'!C:C, "Not Found")</f>
        <v>Logan Circle</v>
      </c>
      <c r="F648" t="s">
        <v>972</v>
      </c>
      <c r="G648" t="s">
        <v>567</v>
      </c>
      <c r="H648" t="s">
        <v>103</v>
      </c>
      <c r="I648">
        <v>0</v>
      </c>
      <c r="J648" t="s">
        <v>163</v>
      </c>
      <c r="K648" t="s">
        <v>13</v>
      </c>
      <c r="L648" t="s">
        <v>13</v>
      </c>
    </row>
    <row r="649" spans="1:12" x14ac:dyDescent="0.5">
      <c r="A649" t="s">
        <v>971</v>
      </c>
      <c r="B649" t="str">
        <f>_xlfn.XLOOKUP(A649, 'sqft data'!A:A, 'sqft data'!C:C, "Not Found")</f>
        <v>Not Found</v>
      </c>
      <c r="C649">
        <f>_xlfn.XLOOKUP(A649, 'bedroom data'!A:A, 'bedroom data'!B:B, "Not Found")</f>
        <v>1</v>
      </c>
      <c r="D649">
        <f>_xlfn.XLOOKUP(A649, 'bathroom data'!A:A, 'bathroom data'!B:B, "Not Found")</f>
        <v>1</v>
      </c>
      <c r="E649" t="str">
        <f>_xlfn.XLOOKUP(A649, 'bedroom data'!A:A, 'bedroom data'!C:C, "Not Found")</f>
        <v>Logan Circle</v>
      </c>
      <c r="F649" t="s">
        <v>972</v>
      </c>
      <c r="G649" t="s">
        <v>133</v>
      </c>
      <c r="H649" t="s">
        <v>160</v>
      </c>
      <c r="I649">
        <v>130</v>
      </c>
      <c r="J649" t="s">
        <v>797</v>
      </c>
      <c r="K649" t="s">
        <v>13</v>
      </c>
      <c r="L649" t="s">
        <v>13</v>
      </c>
    </row>
    <row r="650" spans="1:12" x14ac:dyDescent="0.5">
      <c r="A650" t="s">
        <v>973</v>
      </c>
      <c r="B650">
        <f>_xlfn.XLOOKUP(A650, 'sqft data'!A:A, 'sqft data'!C:C, "Not Found")</f>
        <v>2100</v>
      </c>
      <c r="C650">
        <f>_xlfn.XLOOKUP(A650, 'bedroom data'!A:A, 'bedroom data'!B:B, "Not Found")</f>
        <v>3</v>
      </c>
      <c r="D650">
        <f>_xlfn.XLOOKUP(A650, 'bathroom data'!A:A, 'bathroom data'!B:B, "Not Found")</f>
        <v>2.5</v>
      </c>
      <c r="E650" t="str">
        <f>_xlfn.XLOOKUP(A650, 'bedroom data'!A:A, 'bedroom data'!C:C, "Not Found")</f>
        <v>Logan Circle</v>
      </c>
      <c r="F650" t="s">
        <v>689</v>
      </c>
      <c r="G650" t="s">
        <v>634</v>
      </c>
      <c r="H650" t="s">
        <v>821</v>
      </c>
      <c r="I650">
        <v>393.22</v>
      </c>
      <c r="J650" t="s">
        <v>634</v>
      </c>
      <c r="K650" t="s">
        <v>13</v>
      </c>
      <c r="L650" t="s">
        <v>13</v>
      </c>
    </row>
    <row r="651" spans="1:12" x14ac:dyDescent="0.5">
      <c r="A651" t="s">
        <v>973</v>
      </c>
      <c r="B651">
        <f>_xlfn.XLOOKUP(A651, 'sqft data'!A:A, 'sqft data'!C:C, "Not Found")</f>
        <v>2100</v>
      </c>
      <c r="C651">
        <f>_xlfn.XLOOKUP(A651, 'bedroom data'!A:A, 'bedroom data'!B:B, "Not Found")</f>
        <v>3</v>
      </c>
      <c r="D651">
        <f>_xlfn.XLOOKUP(A651, 'bathroom data'!A:A, 'bathroom data'!B:B, "Not Found")</f>
        <v>2.5</v>
      </c>
      <c r="E651" t="str">
        <f>_xlfn.XLOOKUP(A651, 'bedroom data'!A:A, 'bedroom data'!C:C, "Not Found")</f>
        <v>Logan Circle</v>
      </c>
      <c r="F651" t="s">
        <v>689</v>
      </c>
      <c r="G651" t="s">
        <v>148</v>
      </c>
      <c r="H651" t="s">
        <v>459</v>
      </c>
      <c r="I651">
        <v>0</v>
      </c>
      <c r="J651" t="s">
        <v>148</v>
      </c>
      <c r="K651" t="s">
        <v>13</v>
      </c>
      <c r="L651" t="s">
        <v>13</v>
      </c>
    </row>
    <row r="652" spans="1:12" x14ac:dyDescent="0.5">
      <c r="A652" t="s">
        <v>974</v>
      </c>
      <c r="B652">
        <f>_xlfn.XLOOKUP(A652, 'sqft data'!A:A, 'sqft data'!C:C, "Not Found")</f>
        <v>550</v>
      </c>
      <c r="C652">
        <f>_xlfn.XLOOKUP(A652, 'bedroom data'!A:A, 'bedroom data'!B:B, "Not Found")</f>
        <v>1</v>
      </c>
      <c r="D652">
        <f>_xlfn.XLOOKUP(A652, 'bathroom data'!A:A, 'bathroom data'!B:B, "Not Found")</f>
        <v>1</v>
      </c>
      <c r="E652" t="str">
        <f>_xlfn.XLOOKUP(A652, 'bedroom data'!A:A, 'bedroom data'!C:C, "Not Found")</f>
        <v>U Street Corridor</v>
      </c>
      <c r="F652" t="s">
        <v>728</v>
      </c>
      <c r="G652" t="s">
        <v>49</v>
      </c>
      <c r="H652" t="s">
        <v>426</v>
      </c>
      <c r="I652">
        <v>108</v>
      </c>
      <c r="J652" t="s">
        <v>489</v>
      </c>
      <c r="K652" t="s">
        <v>13</v>
      </c>
      <c r="L652" t="s">
        <v>13</v>
      </c>
    </row>
    <row r="653" spans="1:12" x14ac:dyDescent="0.5">
      <c r="A653" t="s">
        <v>974</v>
      </c>
      <c r="B653">
        <f>_xlfn.XLOOKUP(A653, 'sqft data'!A:A, 'sqft data'!C:C, "Not Found")</f>
        <v>550</v>
      </c>
      <c r="C653">
        <f>_xlfn.XLOOKUP(A653, 'bedroom data'!A:A, 'bedroom data'!B:B, "Not Found")</f>
        <v>1</v>
      </c>
      <c r="D653">
        <f>_xlfn.XLOOKUP(A653, 'bathroom data'!A:A, 'bathroom data'!B:B, "Not Found")</f>
        <v>1</v>
      </c>
      <c r="E653" t="str">
        <f>_xlfn.XLOOKUP(A653, 'bedroom data'!A:A, 'bedroom data'!C:C, "Not Found")</f>
        <v>U Street Corridor</v>
      </c>
      <c r="F653" t="s">
        <v>728</v>
      </c>
      <c r="G653" t="s">
        <v>777</v>
      </c>
      <c r="H653" t="s">
        <v>28</v>
      </c>
      <c r="I653">
        <v>98</v>
      </c>
      <c r="J653" t="s">
        <v>777</v>
      </c>
      <c r="K653" t="s">
        <v>13</v>
      </c>
      <c r="L653" t="s">
        <v>13</v>
      </c>
    </row>
    <row r="654" spans="1:12" x14ac:dyDescent="0.5">
      <c r="A654" t="s">
        <v>974</v>
      </c>
      <c r="B654">
        <f>_xlfn.XLOOKUP(A654, 'sqft data'!A:A, 'sqft data'!C:C, "Not Found")</f>
        <v>550</v>
      </c>
      <c r="C654">
        <f>_xlfn.XLOOKUP(A654, 'bedroom data'!A:A, 'bedroom data'!B:B, "Not Found")</f>
        <v>1</v>
      </c>
      <c r="D654">
        <f>_xlfn.XLOOKUP(A654, 'bathroom data'!A:A, 'bathroom data'!B:B, "Not Found")</f>
        <v>1</v>
      </c>
      <c r="E654" t="str">
        <f>_xlfn.XLOOKUP(A654, 'bedroom data'!A:A, 'bedroom data'!C:C, "Not Found")</f>
        <v>U Street Corridor</v>
      </c>
      <c r="F654" t="s">
        <v>728</v>
      </c>
      <c r="G654" t="s">
        <v>975</v>
      </c>
      <c r="H654" t="s">
        <v>197</v>
      </c>
      <c r="I654">
        <v>83.58</v>
      </c>
      <c r="J654" t="s">
        <v>975</v>
      </c>
      <c r="K654" t="s">
        <v>13</v>
      </c>
      <c r="L654" t="s">
        <v>36</v>
      </c>
    </row>
    <row r="655" spans="1:12" x14ac:dyDescent="0.5">
      <c r="A655" t="s">
        <v>974</v>
      </c>
      <c r="B655">
        <f>_xlfn.XLOOKUP(A655, 'sqft data'!A:A, 'sqft data'!C:C, "Not Found")</f>
        <v>550</v>
      </c>
      <c r="C655">
        <f>_xlfn.XLOOKUP(A655, 'bedroom data'!A:A, 'bedroom data'!B:B, "Not Found")</f>
        <v>1</v>
      </c>
      <c r="D655">
        <f>_xlfn.XLOOKUP(A655, 'bathroom data'!A:A, 'bathroom data'!B:B, "Not Found")</f>
        <v>1</v>
      </c>
      <c r="E655" t="str">
        <f>_xlfn.XLOOKUP(A655, 'bedroom data'!A:A, 'bedroom data'!C:C, "Not Found")</f>
        <v>U Street Corridor</v>
      </c>
      <c r="F655" t="s">
        <v>728</v>
      </c>
      <c r="G655" t="s">
        <v>267</v>
      </c>
      <c r="H655" t="s">
        <v>522</v>
      </c>
      <c r="I655">
        <v>129</v>
      </c>
      <c r="J655" t="s">
        <v>108</v>
      </c>
      <c r="K655" t="s">
        <v>13</v>
      </c>
      <c r="L655" t="s">
        <v>13</v>
      </c>
    </row>
    <row r="656" spans="1:12" x14ac:dyDescent="0.5">
      <c r="A656" t="s">
        <v>974</v>
      </c>
      <c r="B656">
        <f>_xlfn.XLOOKUP(A656, 'sqft data'!A:A, 'sqft data'!C:C, "Not Found")</f>
        <v>550</v>
      </c>
      <c r="C656">
        <f>_xlfn.XLOOKUP(A656, 'bedroom data'!A:A, 'bedroom data'!B:B, "Not Found")</f>
        <v>1</v>
      </c>
      <c r="D656">
        <f>_xlfn.XLOOKUP(A656, 'bathroom data'!A:A, 'bathroom data'!B:B, "Not Found")</f>
        <v>1</v>
      </c>
      <c r="E656" t="str">
        <f>_xlfn.XLOOKUP(A656, 'bedroom data'!A:A, 'bedroom data'!C:C, "Not Found")</f>
        <v>U Street Corridor</v>
      </c>
      <c r="F656" t="s">
        <v>728</v>
      </c>
      <c r="G656" t="s">
        <v>105</v>
      </c>
      <c r="H656" t="s">
        <v>144</v>
      </c>
      <c r="I656">
        <v>123</v>
      </c>
      <c r="J656" t="s">
        <v>573</v>
      </c>
      <c r="K656" t="s">
        <v>13</v>
      </c>
      <c r="L656" t="s">
        <v>36</v>
      </c>
    </row>
    <row r="657" spans="1:12" x14ac:dyDescent="0.5">
      <c r="A657" t="s">
        <v>976</v>
      </c>
      <c r="B657">
        <f>_xlfn.XLOOKUP(A657, 'sqft data'!A:A, 'sqft data'!C:C, "Not Found")</f>
        <v>420</v>
      </c>
      <c r="C657" t="str">
        <f>_xlfn.XLOOKUP(A657, 'bedroom data'!A:A, 'bedroom data'!B:B, "Not Found")</f>
        <v>Studio</v>
      </c>
      <c r="D657">
        <f>_xlfn.XLOOKUP(A657, 'bathroom data'!A:A, 'bathroom data'!B:B, "Not Found")</f>
        <v>1</v>
      </c>
      <c r="E657" t="str">
        <f>_xlfn.XLOOKUP(A657, 'bedroom data'!A:A, 'bedroom data'!C:C, "Not Found")</f>
        <v>Logan Circle</v>
      </c>
      <c r="F657" t="s">
        <v>507</v>
      </c>
      <c r="G657" t="s">
        <v>191</v>
      </c>
      <c r="H657" t="s">
        <v>504</v>
      </c>
      <c r="I657">
        <v>88</v>
      </c>
      <c r="J657" t="s">
        <v>249</v>
      </c>
      <c r="K657" t="s">
        <v>13</v>
      </c>
      <c r="L657" t="s">
        <v>13</v>
      </c>
    </row>
    <row r="658" spans="1:12" x14ac:dyDescent="0.5">
      <c r="A658" t="s">
        <v>976</v>
      </c>
      <c r="B658">
        <f>_xlfn.XLOOKUP(A658, 'sqft data'!A:A, 'sqft data'!C:C, "Not Found")</f>
        <v>420</v>
      </c>
      <c r="C658" t="str">
        <f>_xlfn.XLOOKUP(A658, 'bedroom data'!A:A, 'bedroom data'!B:B, "Not Found")</f>
        <v>Studio</v>
      </c>
      <c r="D658">
        <f>_xlfn.XLOOKUP(A658, 'bathroom data'!A:A, 'bathroom data'!B:B, "Not Found")</f>
        <v>1</v>
      </c>
      <c r="E658" t="str">
        <f>_xlfn.XLOOKUP(A658, 'bedroom data'!A:A, 'bedroom data'!C:C, "Not Found")</f>
        <v>Logan Circle</v>
      </c>
      <c r="F658" t="s">
        <v>507</v>
      </c>
      <c r="G658" t="s">
        <v>118</v>
      </c>
      <c r="H658" t="s">
        <v>706</v>
      </c>
      <c r="I658">
        <v>76</v>
      </c>
      <c r="J658" t="s">
        <v>118</v>
      </c>
      <c r="K658" t="s">
        <v>13</v>
      </c>
      <c r="L658" t="s">
        <v>13</v>
      </c>
    </row>
    <row r="659" spans="1:12" x14ac:dyDescent="0.5">
      <c r="A659" t="s">
        <v>977</v>
      </c>
      <c r="B659">
        <f>_xlfn.XLOOKUP(A659, 'sqft data'!A:A, 'sqft data'!C:C, "Not Found")</f>
        <v>2206</v>
      </c>
      <c r="C659">
        <f>_xlfn.XLOOKUP(A659, 'bedroom data'!A:A, 'bedroom data'!B:B, "Not Found")</f>
        <v>3</v>
      </c>
      <c r="D659">
        <f>_xlfn.XLOOKUP(A659, 'bathroom data'!A:A, 'bathroom data'!B:B, "Not Found")</f>
        <v>2.5</v>
      </c>
      <c r="E659" t="str">
        <f>_xlfn.XLOOKUP(A659, 'bedroom data'!A:A, 'bedroom data'!C:C, "Not Found")</f>
        <v>Arlington</v>
      </c>
      <c r="F659" t="s">
        <v>274</v>
      </c>
      <c r="G659" t="s">
        <v>978</v>
      </c>
      <c r="H659" t="s">
        <v>282</v>
      </c>
      <c r="I659">
        <v>175</v>
      </c>
      <c r="J659" t="s">
        <v>979</v>
      </c>
      <c r="K659" t="s">
        <v>36</v>
      </c>
      <c r="L659" t="s">
        <v>36</v>
      </c>
    </row>
    <row r="660" spans="1:12" x14ac:dyDescent="0.5">
      <c r="A660" t="s">
        <v>977</v>
      </c>
      <c r="B660">
        <f>_xlfn.XLOOKUP(A660, 'sqft data'!A:A, 'sqft data'!C:C, "Not Found")</f>
        <v>2206</v>
      </c>
      <c r="C660">
        <f>_xlfn.XLOOKUP(A660, 'bedroom data'!A:A, 'bedroom data'!B:B, "Not Found")</f>
        <v>3</v>
      </c>
      <c r="D660">
        <f>_xlfn.XLOOKUP(A660, 'bathroom data'!A:A, 'bathroom data'!B:B, "Not Found")</f>
        <v>2.5</v>
      </c>
      <c r="E660" t="str">
        <f>_xlfn.XLOOKUP(A660, 'bedroom data'!A:A, 'bedroom data'!C:C, "Not Found")</f>
        <v>Arlington</v>
      </c>
      <c r="F660" t="s">
        <v>274</v>
      </c>
      <c r="G660" t="s">
        <v>517</v>
      </c>
      <c r="H660" t="s">
        <v>980</v>
      </c>
      <c r="I660">
        <v>0</v>
      </c>
      <c r="J660" t="s">
        <v>517</v>
      </c>
      <c r="K660" t="s">
        <v>13</v>
      </c>
      <c r="L660" t="s">
        <v>13</v>
      </c>
    </row>
    <row r="661" spans="1:12" x14ac:dyDescent="0.5">
      <c r="A661" t="s">
        <v>981</v>
      </c>
      <c r="B661">
        <f>_xlfn.XLOOKUP(A661, 'sqft data'!A:A, 'sqft data'!C:C, "Not Found")</f>
        <v>1170</v>
      </c>
      <c r="C661">
        <f>_xlfn.XLOOKUP(A661, 'bedroom data'!A:A, 'bedroom data'!B:B, "Not Found")</f>
        <v>2</v>
      </c>
      <c r="D661">
        <f>_xlfn.XLOOKUP(A661, 'bathroom data'!A:A, 'bathroom data'!B:B, "Not Found")</f>
        <v>1.5</v>
      </c>
      <c r="E661" t="str">
        <f>_xlfn.XLOOKUP(A661, 'bedroom data'!A:A, 'bedroom data'!C:C, "Not Found")</f>
        <v>Dupont Circle</v>
      </c>
      <c r="F661" t="s">
        <v>982</v>
      </c>
      <c r="G661" t="s">
        <v>983</v>
      </c>
      <c r="H661" t="s">
        <v>964</v>
      </c>
      <c r="I661">
        <v>183.33</v>
      </c>
      <c r="J661" t="s">
        <v>462</v>
      </c>
      <c r="K661" t="s">
        <v>13</v>
      </c>
      <c r="L661" t="s">
        <v>13</v>
      </c>
    </row>
    <row r="662" spans="1:12" x14ac:dyDescent="0.5">
      <c r="A662" t="s">
        <v>981</v>
      </c>
      <c r="B662">
        <f>_xlfn.XLOOKUP(A662, 'sqft data'!A:A, 'sqft data'!C:C, "Not Found")</f>
        <v>1170</v>
      </c>
      <c r="C662">
        <f>_xlfn.XLOOKUP(A662, 'bedroom data'!A:A, 'bedroom data'!B:B, "Not Found")</f>
        <v>2</v>
      </c>
      <c r="D662">
        <f>_xlfn.XLOOKUP(A662, 'bathroom data'!A:A, 'bathroom data'!B:B, "Not Found")</f>
        <v>1.5</v>
      </c>
      <c r="E662" t="str">
        <f>_xlfn.XLOOKUP(A662, 'bedroom data'!A:A, 'bedroom data'!C:C, "Not Found")</f>
        <v>Dupont Circle</v>
      </c>
      <c r="F662" t="s">
        <v>982</v>
      </c>
      <c r="G662" t="s">
        <v>540</v>
      </c>
      <c r="H662" t="s">
        <v>253</v>
      </c>
      <c r="I662">
        <v>210</v>
      </c>
      <c r="J662" t="s">
        <v>568</v>
      </c>
      <c r="K662" t="s">
        <v>13</v>
      </c>
      <c r="L662" t="s">
        <v>13</v>
      </c>
    </row>
    <row r="663" spans="1:12" x14ac:dyDescent="0.5">
      <c r="A663" t="s">
        <v>984</v>
      </c>
      <c r="B663">
        <f>_xlfn.XLOOKUP(A663, 'sqft data'!A:A, 'sqft data'!C:C, "Not Found")</f>
        <v>325</v>
      </c>
      <c r="C663" t="str">
        <f>_xlfn.XLOOKUP(A663, 'bedroom data'!A:A, 'bedroom data'!B:B, "Not Found")</f>
        <v>Studio</v>
      </c>
      <c r="D663">
        <f>_xlfn.XLOOKUP(A663, 'bathroom data'!A:A, 'bathroom data'!B:B, "Not Found")</f>
        <v>1</v>
      </c>
      <c r="E663" t="str">
        <f>_xlfn.XLOOKUP(A663, 'bedroom data'!A:A, 'bedroom data'!C:C, "Not Found")</f>
        <v>Logan Circle</v>
      </c>
      <c r="F663" t="s">
        <v>331</v>
      </c>
      <c r="G663" t="s">
        <v>110</v>
      </c>
      <c r="H663" t="s">
        <v>55</v>
      </c>
      <c r="I663">
        <v>90</v>
      </c>
      <c r="J663" t="s">
        <v>390</v>
      </c>
      <c r="K663" t="s">
        <v>13</v>
      </c>
      <c r="L663" t="s">
        <v>13</v>
      </c>
    </row>
    <row r="664" spans="1:12" x14ac:dyDescent="0.5">
      <c r="A664" t="s">
        <v>984</v>
      </c>
      <c r="B664">
        <f>_xlfn.XLOOKUP(A664, 'sqft data'!A:A, 'sqft data'!C:C, "Not Found")</f>
        <v>325</v>
      </c>
      <c r="C664" t="str">
        <f>_xlfn.XLOOKUP(A664, 'bedroom data'!A:A, 'bedroom data'!B:B, "Not Found")</f>
        <v>Studio</v>
      </c>
      <c r="D664">
        <f>_xlfn.XLOOKUP(A664, 'bathroom data'!A:A, 'bathroom data'!B:B, "Not Found")</f>
        <v>1</v>
      </c>
      <c r="E664" t="str">
        <f>_xlfn.XLOOKUP(A664, 'bedroom data'!A:A, 'bedroom data'!C:C, "Not Found")</f>
        <v>Logan Circle</v>
      </c>
      <c r="F664" t="s">
        <v>331</v>
      </c>
      <c r="G664" t="s">
        <v>810</v>
      </c>
      <c r="H664" t="s">
        <v>427</v>
      </c>
      <c r="I664">
        <v>73.38</v>
      </c>
      <c r="J664" t="s">
        <v>672</v>
      </c>
      <c r="K664" t="s">
        <v>13</v>
      </c>
      <c r="L664" t="s">
        <v>13</v>
      </c>
    </row>
    <row r="665" spans="1:12" x14ac:dyDescent="0.5">
      <c r="A665" t="s">
        <v>984</v>
      </c>
      <c r="B665">
        <f>_xlfn.XLOOKUP(A665, 'sqft data'!A:A, 'sqft data'!C:C, "Not Found")</f>
        <v>325</v>
      </c>
      <c r="C665" t="str">
        <f>_xlfn.XLOOKUP(A665, 'bedroom data'!A:A, 'bedroom data'!B:B, "Not Found")</f>
        <v>Studio</v>
      </c>
      <c r="D665">
        <f>_xlfn.XLOOKUP(A665, 'bathroom data'!A:A, 'bathroom data'!B:B, "Not Found")</f>
        <v>1</v>
      </c>
      <c r="E665" t="str">
        <f>_xlfn.XLOOKUP(A665, 'bedroom data'!A:A, 'bedroom data'!C:C, "Not Found")</f>
        <v>Logan Circle</v>
      </c>
      <c r="F665" t="s">
        <v>331</v>
      </c>
      <c r="G665" t="s">
        <v>778</v>
      </c>
      <c r="H665" t="s">
        <v>196</v>
      </c>
      <c r="I665">
        <v>81.53</v>
      </c>
      <c r="J665" t="s">
        <v>538</v>
      </c>
      <c r="K665" t="s">
        <v>13</v>
      </c>
      <c r="L665" t="s">
        <v>13</v>
      </c>
    </row>
    <row r="666" spans="1:12" x14ac:dyDescent="0.5">
      <c r="A666" t="s">
        <v>984</v>
      </c>
      <c r="B666">
        <f>_xlfn.XLOOKUP(A666, 'sqft data'!A:A, 'sqft data'!C:C, "Not Found")</f>
        <v>325</v>
      </c>
      <c r="C666" t="str">
        <f>_xlfn.XLOOKUP(A666, 'bedroom data'!A:A, 'bedroom data'!B:B, "Not Found")</f>
        <v>Studio</v>
      </c>
      <c r="D666">
        <f>_xlfn.XLOOKUP(A666, 'bathroom data'!A:A, 'bathroom data'!B:B, "Not Found")</f>
        <v>1</v>
      </c>
      <c r="E666" t="str">
        <f>_xlfn.XLOOKUP(A666, 'bedroom data'!A:A, 'bedroom data'!C:C, "Not Found")</f>
        <v>Logan Circle</v>
      </c>
      <c r="F666" t="s">
        <v>331</v>
      </c>
      <c r="G666" t="s">
        <v>196</v>
      </c>
      <c r="H666" t="s">
        <v>122</v>
      </c>
      <c r="I666">
        <v>81.53</v>
      </c>
      <c r="J666" t="s">
        <v>196</v>
      </c>
      <c r="K666" t="s">
        <v>13</v>
      </c>
      <c r="L666" t="s">
        <v>13</v>
      </c>
    </row>
    <row r="667" spans="1:12" x14ac:dyDescent="0.5">
      <c r="A667" t="s">
        <v>984</v>
      </c>
      <c r="B667">
        <f>_xlfn.XLOOKUP(A667, 'sqft data'!A:A, 'sqft data'!C:C, "Not Found")</f>
        <v>325</v>
      </c>
      <c r="C667" t="str">
        <f>_xlfn.XLOOKUP(A667, 'bedroom data'!A:A, 'bedroom data'!B:B, "Not Found")</f>
        <v>Studio</v>
      </c>
      <c r="D667">
        <f>_xlfn.XLOOKUP(A667, 'bathroom data'!A:A, 'bathroom data'!B:B, "Not Found")</f>
        <v>1</v>
      </c>
      <c r="E667" t="str">
        <f>_xlfn.XLOOKUP(A667, 'bedroom data'!A:A, 'bedroom data'!C:C, "Not Found")</f>
        <v>Logan Circle</v>
      </c>
      <c r="F667" t="s">
        <v>331</v>
      </c>
      <c r="G667" t="s">
        <v>105</v>
      </c>
      <c r="H667" t="s">
        <v>58</v>
      </c>
      <c r="I667">
        <v>95</v>
      </c>
      <c r="J667" t="s">
        <v>199</v>
      </c>
      <c r="K667" t="s">
        <v>13</v>
      </c>
      <c r="L667" t="s">
        <v>13</v>
      </c>
    </row>
    <row r="668" spans="1:12" x14ac:dyDescent="0.5">
      <c r="A668" t="s">
        <v>985</v>
      </c>
      <c r="B668">
        <f>_xlfn.XLOOKUP(A668, 'sqft data'!A:A, 'sqft data'!C:C, "Not Found")</f>
        <v>1665</v>
      </c>
      <c r="C668">
        <f>_xlfn.XLOOKUP(A668, 'bedroom data'!A:A, 'bedroom data'!B:B, "Not Found")</f>
        <v>2</v>
      </c>
      <c r="D668">
        <f>_xlfn.XLOOKUP(A668, 'bathroom data'!A:A, 'bathroom data'!B:B, "Not Found")</f>
        <v>2.5</v>
      </c>
      <c r="E668" t="str">
        <f>_xlfn.XLOOKUP(A668, 'bedroom data'!A:A, 'bedroom data'!C:C, "Not Found")</f>
        <v>Logan Circle</v>
      </c>
      <c r="F668" t="s">
        <v>331</v>
      </c>
      <c r="G668" t="s">
        <v>477</v>
      </c>
      <c r="H668" t="s">
        <v>113</v>
      </c>
      <c r="I668">
        <v>218</v>
      </c>
      <c r="J668" t="s">
        <v>986</v>
      </c>
      <c r="K668" t="s">
        <v>36</v>
      </c>
      <c r="L668" t="s">
        <v>13</v>
      </c>
    </row>
    <row r="669" spans="1:12" x14ac:dyDescent="0.5">
      <c r="A669" t="s">
        <v>985</v>
      </c>
      <c r="B669">
        <f>_xlfn.XLOOKUP(A669, 'sqft data'!A:A, 'sqft data'!C:C, "Not Found")</f>
        <v>1665</v>
      </c>
      <c r="C669">
        <f>_xlfn.XLOOKUP(A669, 'bedroom data'!A:A, 'bedroom data'!B:B, "Not Found")</f>
        <v>2</v>
      </c>
      <c r="D669">
        <f>_xlfn.XLOOKUP(A669, 'bathroom data'!A:A, 'bathroom data'!B:B, "Not Found")</f>
        <v>2.5</v>
      </c>
      <c r="E669" t="str">
        <f>_xlfn.XLOOKUP(A669, 'bedroom data'!A:A, 'bedroom data'!C:C, "Not Found")</f>
        <v>Logan Circle</v>
      </c>
      <c r="F669" t="s">
        <v>331</v>
      </c>
      <c r="G669" t="s">
        <v>133</v>
      </c>
      <c r="H669" t="s">
        <v>298</v>
      </c>
      <c r="I669">
        <v>218</v>
      </c>
      <c r="J669" t="s">
        <v>761</v>
      </c>
      <c r="K669" t="s">
        <v>36</v>
      </c>
      <c r="L669" t="s">
        <v>13</v>
      </c>
    </row>
    <row r="670" spans="1:12" x14ac:dyDescent="0.5">
      <c r="A670" t="s">
        <v>985</v>
      </c>
      <c r="B670">
        <f>_xlfn.XLOOKUP(A670, 'sqft data'!A:A, 'sqft data'!C:C, "Not Found")</f>
        <v>1665</v>
      </c>
      <c r="C670">
        <f>_xlfn.XLOOKUP(A670, 'bedroom data'!A:A, 'bedroom data'!B:B, "Not Found")</f>
        <v>2</v>
      </c>
      <c r="D670">
        <f>_xlfn.XLOOKUP(A670, 'bathroom data'!A:A, 'bathroom data'!B:B, "Not Found")</f>
        <v>2.5</v>
      </c>
      <c r="E670" t="str">
        <f>_xlfn.XLOOKUP(A670, 'bedroom data'!A:A, 'bedroom data'!C:C, "Not Found")</f>
        <v>Logan Circle</v>
      </c>
      <c r="F670" t="s">
        <v>331</v>
      </c>
      <c r="G670" t="s">
        <v>22</v>
      </c>
      <c r="H670" t="s">
        <v>114</v>
      </c>
      <c r="I670">
        <v>194.5</v>
      </c>
      <c r="J670" t="s">
        <v>755</v>
      </c>
      <c r="K670" t="s">
        <v>13</v>
      </c>
      <c r="L670" t="s">
        <v>13</v>
      </c>
    </row>
    <row r="671" spans="1:12" x14ac:dyDescent="0.5">
      <c r="A671" t="s">
        <v>985</v>
      </c>
      <c r="B671">
        <f>_xlfn.XLOOKUP(A671, 'sqft data'!A:A, 'sqft data'!C:C, "Not Found")</f>
        <v>1665</v>
      </c>
      <c r="C671">
        <f>_xlfn.XLOOKUP(A671, 'bedroom data'!A:A, 'bedroom data'!B:B, "Not Found")</f>
        <v>2</v>
      </c>
      <c r="D671">
        <f>_xlfn.XLOOKUP(A671, 'bathroom data'!A:A, 'bathroom data'!B:B, "Not Found")</f>
        <v>2.5</v>
      </c>
      <c r="E671" t="str">
        <f>_xlfn.XLOOKUP(A671, 'bedroom data'!A:A, 'bedroom data'!C:C, "Not Found")</f>
        <v>Logan Circle</v>
      </c>
      <c r="F671" t="s">
        <v>331</v>
      </c>
      <c r="G671" t="s">
        <v>265</v>
      </c>
      <c r="H671" t="s">
        <v>368</v>
      </c>
      <c r="I671">
        <v>218</v>
      </c>
      <c r="J671" t="s">
        <v>289</v>
      </c>
      <c r="K671" t="s">
        <v>36</v>
      </c>
      <c r="L671" t="s">
        <v>36</v>
      </c>
    </row>
    <row r="672" spans="1:12" x14ac:dyDescent="0.5">
      <c r="A672" t="s">
        <v>987</v>
      </c>
      <c r="B672" t="str">
        <f>_xlfn.XLOOKUP(A672, 'sqft data'!A:A, 'sqft data'!C:C, "Not Found")</f>
        <v>Not Found</v>
      </c>
      <c r="C672">
        <f>_xlfn.XLOOKUP(A672, 'bedroom data'!A:A, 'bedroom data'!B:B, "Not Found")</f>
        <v>3</v>
      </c>
      <c r="D672">
        <f>_xlfn.XLOOKUP(A672, 'bathroom data'!A:A, 'bathroom data'!B:B, "Not Found")</f>
        <v>2.5</v>
      </c>
      <c r="E672" t="str">
        <f>_xlfn.XLOOKUP(A672, 'bedroom data'!A:A, 'bedroom data'!C:C, "Not Found")</f>
        <v>Logan Circle</v>
      </c>
      <c r="F672" t="s">
        <v>625</v>
      </c>
      <c r="G672" t="s">
        <v>16</v>
      </c>
      <c r="H672" t="s">
        <v>144</v>
      </c>
      <c r="I672">
        <v>173</v>
      </c>
      <c r="J672" t="s">
        <v>21</v>
      </c>
      <c r="K672" t="s">
        <v>13</v>
      </c>
      <c r="L672" t="s">
        <v>13</v>
      </c>
    </row>
    <row r="673" spans="1:12" x14ac:dyDescent="0.5">
      <c r="A673" t="s">
        <v>988</v>
      </c>
      <c r="B673">
        <f>_xlfn.XLOOKUP(A673, 'sqft data'!A:A, 'sqft data'!C:C, "Not Found")</f>
        <v>750</v>
      </c>
      <c r="C673">
        <f>_xlfn.XLOOKUP(A673, 'bedroom data'!A:A, 'bedroom data'!B:B, "Not Found")</f>
        <v>1</v>
      </c>
      <c r="D673">
        <f>_xlfn.XLOOKUP(A673, 'bathroom data'!A:A, 'bathroom data'!B:B, "Not Found")</f>
        <v>1</v>
      </c>
      <c r="E673" t="str">
        <f>_xlfn.XLOOKUP(A673, 'bedroom data'!A:A, 'bedroom data'!C:C, "Not Found")</f>
        <v>Dupont Circle</v>
      </c>
      <c r="F673" t="s">
        <v>625</v>
      </c>
      <c r="G673" t="s">
        <v>395</v>
      </c>
      <c r="H673" t="s">
        <v>113</v>
      </c>
      <c r="I673">
        <v>135</v>
      </c>
      <c r="J673" t="s">
        <v>35</v>
      </c>
      <c r="K673" t="s">
        <v>13</v>
      </c>
      <c r="L673" t="s">
        <v>13</v>
      </c>
    </row>
    <row r="674" spans="1:12" x14ac:dyDescent="0.5">
      <c r="A674" t="s">
        <v>988</v>
      </c>
      <c r="B674">
        <f>_xlfn.XLOOKUP(A674, 'sqft data'!A:A, 'sqft data'!C:C, "Not Found")</f>
        <v>750</v>
      </c>
      <c r="C674">
        <f>_xlfn.XLOOKUP(A674, 'bedroom data'!A:A, 'bedroom data'!B:B, "Not Found")</f>
        <v>1</v>
      </c>
      <c r="D674">
        <f>_xlfn.XLOOKUP(A674, 'bathroom data'!A:A, 'bathroom data'!B:B, "Not Found")</f>
        <v>1</v>
      </c>
      <c r="E674" t="str">
        <f>_xlfn.XLOOKUP(A674, 'bedroom data'!A:A, 'bedroom data'!C:C, "Not Found")</f>
        <v>Dupont Circle</v>
      </c>
      <c r="F674" t="s">
        <v>625</v>
      </c>
      <c r="G674" t="s">
        <v>189</v>
      </c>
      <c r="H674" t="s">
        <v>293</v>
      </c>
      <c r="I674">
        <v>140</v>
      </c>
      <c r="J674" t="s">
        <v>113</v>
      </c>
      <c r="K674" t="s">
        <v>13</v>
      </c>
      <c r="L674" t="s">
        <v>13</v>
      </c>
    </row>
    <row r="675" spans="1:12" x14ac:dyDescent="0.5">
      <c r="A675" t="s">
        <v>988</v>
      </c>
      <c r="B675">
        <f>_xlfn.XLOOKUP(A675, 'sqft data'!A:A, 'sqft data'!C:C, "Not Found")</f>
        <v>750</v>
      </c>
      <c r="C675">
        <f>_xlfn.XLOOKUP(A675, 'bedroom data'!A:A, 'bedroom data'!B:B, "Not Found")</f>
        <v>1</v>
      </c>
      <c r="D675">
        <f>_xlfn.XLOOKUP(A675, 'bathroom data'!A:A, 'bathroom data'!B:B, "Not Found")</f>
        <v>1</v>
      </c>
      <c r="E675" t="str">
        <f>_xlfn.XLOOKUP(A675, 'bedroom data'!A:A, 'bedroom data'!C:C, "Not Found")</f>
        <v>Dupont Circle</v>
      </c>
      <c r="F675" t="s">
        <v>625</v>
      </c>
      <c r="G675" t="s">
        <v>744</v>
      </c>
      <c r="H675" t="s">
        <v>964</v>
      </c>
      <c r="I675">
        <v>140</v>
      </c>
      <c r="J675" t="s">
        <v>367</v>
      </c>
      <c r="K675" t="s">
        <v>13</v>
      </c>
      <c r="L675" t="s">
        <v>13</v>
      </c>
    </row>
    <row r="676" spans="1:12" x14ac:dyDescent="0.5">
      <c r="A676" t="s">
        <v>988</v>
      </c>
      <c r="B676">
        <f>_xlfn.XLOOKUP(A676, 'sqft data'!A:A, 'sqft data'!C:C, "Not Found")</f>
        <v>750</v>
      </c>
      <c r="C676">
        <f>_xlfn.XLOOKUP(A676, 'bedroom data'!A:A, 'bedroom data'!B:B, "Not Found")</f>
        <v>1</v>
      </c>
      <c r="D676">
        <f>_xlfn.XLOOKUP(A676, 'bathroom data'!A:A, 'bathroom data'!B:B, "Not Found")</f>
        <v>1</v>
      </c>
      <c r="E676" t="str">
        <f>_xlfn.XLOOKUP(A676, 'bedroom data'!A:A, 'bedroom data'!C:C, "Not Found")</f>
        <v>Dupont Circle</v>
      </c>
      <c r="F676" t="s">
        <v>625</v>
      </c>
      <c r="G676" t="s">
        <v>194</v>
      </c>
      <c r="H676" t="s">
        <v>333</v>
      </c>
      <c r="I676">
        <v>0</v>
      </c>
      <c r="J676" t="s">
        <v>289</v>
      </c>
      <c r="K676" t="s">
        <v>13</v>
      </c>
      <c r="L676" t="s">
        <v>13</v>
      </c>
    </row>
    <row r="677" spans="1:12" x14ac:dyDescent="0.5">
      <c r="A677" t="s">
        <v>988</v>
      </c>
      <c r="B677">
        <f>_xlfn.XLOOKUP(A677, 'sqft data'!A:A, 'sqft data'!C:C, "Not Found")</f>
        <v>750</v>
      </c>
      <c r="C677">
        <f>_xlfn.XLOOKUP(A677, 'bedroom data'!A:A, 'bedroom data'!B:B, "Not Found")</f>
        <v>1</v>
      </c>
      <c r="D677">
        <f>_xlfn.XLOOKUP(A677, 'bathroom data'!A:A, 'bathroom data'!B:B, "Not Found")</f>
        <v>1</v>
      </c>
      <c r="E677" t="str">
        <f>_xlfn.XLOOKUP(A677, 'bedroom data'!A:A, 'bedroom data'!C:C, "Not Found")</f>
        <v>Dupont Circle</v>
      </c>
      <c r="F677" t="s">
        <v>625</v>
      </c>
      <c r="G677" t="s">
        <v>547</v>
      </c>
      <c r="H677" t="s">
        <v>989</v>
      </c>
      <c r="I677">
        <v>120</v>
      </c>
      <c r="J677" t="s">
        <v>448</v>
      </c>
      <c r="K677" t="s">
        <v>13</v>
      </c>
      <c r="L677" t="s">
        <v>13</v>
      </c>
    </row>
    <row r="678" spans="1:12" x14ac:dyDescent="0.5">
      <c r="A678" t="s">
        <v>988</v>
      </c>
      <c r="B678">
        <f>_xlfn.XLOOKUP(A678, 'sqft data'!A:A, 'sqft data'!C:C, "Not Found")</f>
        <v>750</v>
      </c>
      <c r="C678">
        <f>_xlfn.XLOOKUP(A678, 'bedroom data'!A:A, 'bedroom data'!B:B, "Not Found")</f>
        <v>1</v>
      </c>
      <c r="D678">
        <f>_xlfn.XLOOKUP(A678, 'bathroom data'!A:A, 'bathroom data'!B:B, "Not Found")</f>
        <v>1</v>
      </c>
      <c r="E678" t="str">
        <f>_xlfn.XLOOKUP(A678, 'bedroom data'!A:A, 'bedroom data'!C:C, "Not Found")</f>
        <v>Dupont Circle</v>
      </c>
      <c r="F678" t="s">
        <v>625</v>
      </c>
      <c r="G678" t="s">
        <v>803</v>
      </c>
      <c r="H678" t="s">
        <v>889</v>
      </c>
      <c r="I678">
        <v>140</v>
      </c>
      <c r="J678" t="s">
        <v>122</v>
      </c>
      <c r="K678" t="s">
        <v>13</v>
      </c>
      <c r="L678" t="s">
        <v>13</v>
      </c>
    </row>
    <row r="679" spans="1:12" x14ac:dyDescent="0.5">
      <c r="A679" t="s">
        <v>990</v>
      </c>
      <c r="B679">
        <f>_xlfn.XLOOKUP(A679, 'sqft data'!A:A, 'sqft data'!C:C, "Not Found")</f>
        <v>425</v>
      </c>
      <c r="C679">
        <f>_xlfn.XLOOKUP(A679, 'bedroom data'!A:A, 'bedroom data'!B:B, "Not Found")</f>
        <v>1</v>
      </c>
      <c r="D679">
        <f>_xlfn.XLOOKUP(A679, 'bathroom data'!A:A, 'bathroom data'!B:B, "Not Found")</f>
        <v>1</v>
      </c>
      <c r="E679" t="str">
        <f>_xlfn.XLOOKUP(A679, 'bedroom data'!A:A, 'bedroom data'!C:C, "Not Found")</f>
        <v>Logan Circle</v>
      </c>
      <c r="F679" t="s">
        <v>795</v>
      </c>
      <c r="G679" t="s">
        <v>299</v>
      </c>
      <c r="H679" t="s">
        <v>101</v>
      </c>
      <c r="I679">
        <v>80</v>
      </c>
      <c r="J679" t="s">
        <v>645</v>
      </c>
      <c r="K679" t="s">
        <v>13</v>
      </c>
      <c r="L679" t="s">
        <v>13</v>
      </c>
    </row>
    <row r="680" spans="1:12" x14ac:dyDescent="0.5">
      <c r="A680" t="s">
        <v>990</v>
      </c>
      <c r="B680">
        <f>_xlfn.XLOOKUP(A680, 'sqft data'!A:A, 'sqft data'!C:C, "Not Found")</f>
        <v>425</v>
      </c>
      <c r="C680">
        <f>_xlfn.XLOOKUP(A680, 'bedroom data'!A:A, 'bedroom data'!B:B, "Not Found")</f>
        <v>1</v>
      </c>
      <c r="D680">
        <f>_xlfn.XLOOKUP(A680, 'bathroom data'!A:A, 'bathroom data'!B:B, "Not Found")</f>
        <v>1</v>
      </c>
      <c r="E680" t="str">
        <f>_xlfn.XLOOKUP(A680, 'bedroom data'!A:A, 'bedroom data'!C:C, "Not Found")</f>
        <v>Logan Circle</v>
      </c>
      <c r="F680" t="s">
        <v>795</v>
      </c>
      <c r="G680" t="s">
        <v>747</v>
      </c>
      <c r="H680" t="s">
        <v>144</v>
      </c>
      <c r="I680">
        <v>76.67</v>
      </c>
      <c r="J680" t="s">
        <v>749</v>
      </c>
      <c r="K680" t="s">
        <v>13</v>
      </c>
      <c r="L680" t="s">
        <v>13</v>
      </c>
    </row>
    <row r="681" spans="1:12" x14ac:dyDescent="0.5">
      <c r="A681" t="s">
        <v>991</v>
      </c>
      <c r="B681">
        <f>_xlfn.XLOOKUP(A681, 'sqft data'!A:A, 'sqft data'!C:C, "Not Found")</f>
        <v>1900</v>
      </c>
      <c r="C681">
        <f>_xlfn.XLOOKUP(A681, 'bedroom data'!A:A, 'bedroom data'!B:B, "Not Found")</f>
        <v>2</v>
      </c>
      <c r="D681">
        <f>_xlfn.XLOOKUP(A681, 'bathroom data'!A:A, 'bathroom data'!B:B, "Not Found")</f>
        <v>2.5</v>
      </c>
      <c r="E681" t="str">
        <f>_xlfn.XLOOKUP(A681, 'bedroom data'!A:A, 'bedroom data'!C:C, "Not Found")</f>
        <v>Logan Circle</v>
      </c>
      <c r="F681" t="s">
        <v>992</v>
      </c>
      <c r="G681" t="s">
        <v>302</v>
      </c>
      <c r="H681" t="s">
        <v>16</v>
      </c>
      <c r="I681">
        <v>214.3</v>
      </c>
      <c r="J681" t="s">
        <v>378</v>
      </c>
      <c r="K681" t="s">
        <v>13</v>
      </c>
      <c r="L681" t="s">
        <v>13</v>
      </c>
    </row>
    <row r="682" spans="1:12" x14ac:dyDescent="0.5">
      <c r="A682" t="s">
        <v>991</v>
      </c>
      <c r="B682">
        <f>_xlfn.XLOOKUP(A682, 'sqft data'!A:A, 'sqft data'!C:C, "Not Found")</f>
        <v>1900</v>
      </c>
      <c r="C682">
        <f>_xlfn.XLOOKUP(A682, 'bedroom data'!A:A, 'bedroom data'!B:B, "Not Found")</f>
        <v>2</v>
      </c>
      <c r="D682">
        <f>_xlfn.XLOOKUP(A682, 'bathroom data'!A:A, 'bathroom data'!B:B, "Not Found")</f>
        <v>2.5</v>
      </c>
      <c r="E682" t="str">
        <f>_xlfn.XLOOKUP(A682, 'bedroom data'!A:A, 'bedroom data'!C:C, "Not Found")</f>
        <v>Logan Circle</v>
      </c>
      <c r="F682" t="s">
        <v>992</v>
      </c>
      <c r="G682" t="s">
        <v>251</v>
      </c>
      <c r="H682" t="s">
        <v>582</v>
      </c>
      <c r="I682">
        <v>217</v>
      </c>
      <c r="J682" t="s">
        <v>18</v>
      </c>
      <c r="K682" t="s">
        <v>36</v>
      </c>
      <c r="L682" t="s">
        <v>13</v>
      </c>
    </row>
    <row r="683" spans="1:12" x14ac:dyDescent="0.5">
      <c r="A683" t="s">
        <v>991</v>
      </c>
      <c r="B683">
        <f>_xlfn.XLOOKUP(A683, 'sqft data'!A:A, 'sqft data'!C:C, "Not Found")</f>
        <v>1900</v>
      </c>
      <c r="C683">
        <f>_xlfn.XLOOKUP(A683, 'bedroom data'!A:A, 'bedroom data'!B:B, "Not Found")</f>
        <v>2</v>
      </c>
      <c r="D683">
        <f>_xlfn.XLOOKUP(A683, 'bathroom data'!A:A, 'bathroom data'!B:B, "Not Found")</f>
        <v>2.5</v>
      </c>
      <c r="E683" t="str">
        <f>_xlfn.XLOOKUP(A683, 'bedroom data'!A:A, 'bedroom data'!C:C, "Not Found")</f>
        <v>Logan Circle</v>
      </c>
      <c r="F683" t="s">
        <v>992</v>
      </c>
      <c r="G683" t="s">
        <v>84</v>
      </c>
      <c r="H683" t="s">
        <v>182</v>
      </c>
      <c r="I683">
        <v>193.33</v>
      </c>
      <c r="J683" t="s">
        <v>993</v>
      </c>
      <c r="K683" t="s">
        <v>13</v>
      </c>
      <c r="L683" t="s">
        <v>13</v>
      </c>
    </row>
    <row r="684" spans="1:12" x14ac:dyDescent="0.5">
      <c r="A684" t="s">
        <v>991</v>
      </c>
      <c r="B684">
        <f>_xlfn.XLOOKUP(A684, 'sqft data'!A:A, 'sqft data'!C:C, "Not Found")</f>
        <v>1900</v>
      </c>
      <c r="C684">
        <f>_xlfn.XLOOKUP(A684, 'bedroom data'!A:A, 'bedroom data'!B:B, "Not Found")</f>
        <v>2</v>
      </c>
      <c r="D684">
        <f>_xlfn.XLOOKUP(A684, 'bathroom data'!A:A, 'bathroom data'!B:B, "Not Found")</f>
        <v>2.5</v>
      </c>
      <c r="E684" t="str">
        <f>_xlfn.XLOOKUP(A684, 'bedroom data'!A:A, 'bedroom data'!C:C, "Not Found")</f>
        <v>Logan Circle</v>
      </c>
      <c r="F684" t="s">
        <v>992</v>
      </c>
      <c r="G684" t="s">
        <v>471</v>
      </c>
      <c r="H684" t="s">
        <v>548</v>
      </c>
      <c r="I684">
        <v>217</v>
      </c>
      <c r="J684" t="s">
        <v>458</v>
      </c>
      <c r="K684" t="s">
        <v>13</v>
      </c>
      <c r="L684" t="s">
        <v>13</v>
      </c>
    </row>
    <row r="685" spans="1:12" x14ac:dyDescent="0.5">
      <c r="A685" t="s">
        <v>991</v>
      </c>
      <c r="B685">
        <f>_xlfn.XLOOKUP(A685, 'sqft data'!A:A, 'sqft data'!C:C, "Not Found")</f>
        <v>1900</v>
      </c>
      <c r="C685">
        <f>_xlfn.XLOOKUP(A685, 'bedroom data'!A:A, 'bedroom data'!B:B, "Not Found")</f>
        <v>2</v>
      </c>
      <c r="D685">
        <f>_xlfn.XLOOKUP(A685, 'bathroom data'!A:A, 'bathroom data'!B:B, "Not Found")</f>
        <v>2.5</v>
      </c>
      <c r="E685" t="str">
        <f>_xlfn.XLOOKUP(A685, 'bedroom data'!A:A, 'bedroom data'!C:C, "Not Found")</f>
        <v>Logan Circle</v>
      </c>
      <c r="F685" t="s">
        <v>992</v>
      </c>
      <c r="G685" t="s">
        <v>497</v>
      </c>
      <c r="H685" t="s">
        <v>93</v>
      </c>
      <c r="I685">
        <v>217</v>
      </c>
      <c r="J685" t="s">
        <v>472</v>
      </c>
      <c r="K685" t="s">
        <v>36</v>
      </c>
      <c r="L685" t="s">
        <v>13</v>
      </c>
    </row>
    <row r="686" spans="1:12" x14ac:dyDescent="0.5">
      <c r="A686" t="s">
        <v>994</v>
      </c>
      <c r="B686">
        <f>_xlfn.XLOOKUP(A686, 'sqft data'!A:A, 'sqft data'!C:C, "Not Found")</f>
        <v>3000</v>
      </c>
      <c r="C686">
        <f>_xlfn.XLOOKUP(A686, 'bedroom data'!A:A, 'bedroom data'!B:B, "Not Found")</f>
        <v>4</v>
      </c>
      <c r="D686">
        <f>_xlfn.XLOOKUP(A686, 'bathroom data'!A:A, 'bathroom data'!B:B, "Not Found")</f>
        <v>3</v>
      </c>
      <c r="E686" t="str">
        <f>_xlfn.XLOOKUP(A686, 'bedroom data'!A:A, 'bedroom data'!C:C, "Not Found")</f>
        <v>Georgetown</v>
      </c>
      <c r="F686" t="s">
        <v>995</v>
      </c>
      <c r="G686" t="s">
        <v>23</v>
      </c>
      <c r="H686" t="s">
        <v>291</v>
      </c>
      <c r="I686">
        <v>331.55</v>
      </c>
      <c r="J686" t="s">
        <v>855</v>
      </c>
      <c r="K686" t="s">
        <v>13</v>
      </c>
      <c r="L686" t="s">
        <v>13</v>
      </c>
    </row>
    <row r="687" spans="1:12" x14ac:dyDescent="0.5">
      <c r="A687" t="s">
        <v>994</v>
      </c>
      <c r="B687">
        <f>_xlfn.XLOOKUP(A687, 'sqft data'!A:A, 'sqft data'!C:C, "Not Found")</f>
        <v>3000</v>
      </c>
      <c r="C687">
        <f>_xlfn.XLOOKUP(A687, 'bedroom data'!A:A, 'bedroom data'!B:B, "Not Found")</f>
        <v>4</v>
      </c>
      <c r="D687">
        <f>_xlfn.XLOOKUP(A687, 'bathroom data'!A:A, 'bathroom data'!B:B, "Not Found")</f>
        <v>3</v>
      </c>
      <c r="E687" t="str">
        <f>_xlfn.XLOOKUP(A687, 'bedroom data'!A:A, 'bedroom data'!C:C, "Not Found")</f>
        <v>Georgetown</v>
      </c>
      <c r="F687" t="s">
        <v>995</v>
      </c>
      <c r="G687" t="s">
        <v>226</v>
      </c>
      <c r="H687" t="s">
        <v>665</v>
      </c>
      <c r="I687">
        <v>0</v>
      </c>
      <c r="J687" t="s">
        <v>226</v>
      </c>
      <c r="K687" t="s">
        <v>13</v>
      </c>
      <c r="L687" t="s">
        <v>13</v>
      </c>
    </row>
    <row r="688" spans="1:12" x14ac:dyDescent="0.5">
      <c r="A688" t="s">
        <v>994</v>
      </c>
      <c r="B688">
        <f>_xlfn.XLOOKUP(A688, 'sqft data'!A:A, 'sqft data'!C:C, "Not Found")</f>
        <v>3000</v>
      </c>
      <c r="C688">
        <f>_xlfn.XLOOKUP(A688, 'bedroom data'!A:A, 'bedroom data'!B:B, "Not Found")</f>
        <v>4</v>
      </c>
      <c r="D688">
        <f>_xlfn.XLOOKUP(A688, 'bathroom data'!A:A, 'bathroom data'!B:B, "Not Found")</f>
        <v>3</v>
      </c>
      <c r="E688" t="str">
        <f>_xlfn.XLOOKUP(A688, 'bedroom data'!A:A, 'bedroom data'!C:C, "Not Found")</f>
        <v>Georgetown</v>
      </c>
      <c r="F688" t="s">
        <v>995</v>
      </c>
      <c r="G688" t="s">
        <v>533</v>
      </c>
      <c r="H688" t="s">
        <v>585</v>
      </c>
      <c r="I688">
        <v>0</v>
      </c>
      <c r="J688" t="s">
        <v>533</v>
      </c>
      <c r="K688" t="s">
        <v>13</v>
      </c>
      <c r="L688" t="s">
        <v>13</v>
      </c>
    </row>
    <row r="689" spans="1:12" x14ac:dyDescent="0.5">
      <c r="A689" t="s">
        <v>994</v>
      </c>
      <c r="B689">
        <f>_xlfn.XLOOKUP(A689, 'sqft data'!A:A, 'sqft data'!C:C, "Not Found")</f>
        <v>3000</v>
      </c>
      <c r="C689">
        <f>_xlfn.XLOOKUP(A689, 'bedroom data'!A:A, 'bedroom data'!B:B, "Not Found")</f>
        <v>4</v>
      </c>
      <c r="D689">
        <f>_xlfn.XLOOKUP(A689, 'bathroom data'!A:A, 'bathroom data'!B:B, "Not Found")</f>
        <v>3</v>
      </c>
      <c r="E689" t="str">
        <f>_xlfn.XLOOKUP(A689, 'bedroom data'!A:A, 'bedroom data'!C:C, "Not Found")</f>
        <v>Georgetown</v>
      </c>
      <c r="F689" t="s">
        <v>995</v>
      </c>
      <c r="G689" t="s">
        <v>518</v>
      </c>
      <c r="H689" t="s">
        <v>431</v>
      </c>
      <c r="I689">
        <v>331.55</v>
      </c>
      <c r="J689" t="s">
        <v>96</v>
      </c>
      <c r="K689" t="s">
        <v>13</v>
      </c>
      <c r="L689" t="s">
        <v>13</v>
      </c>
    </row>
    <row r="690" spans="1:12" x14ac:dyDescent="0.5">
      <c r="A690" t="s">
        <v>996</v>
      </c>
      <c r="B690">
        <f>_xlfn.XLOOKUP(A690, 'sqft data'!A:A, 'sqft data'!C:C, "Not Found")</f>
        <v>1280</v>
      </c>
      <c r="C690">
        <f>_xlfn.XLOOKUP(A690, 'bedroom data'!A:A, 'bedroom data'!B:B, "Not Found")</f>
        <v>3</v>
      </c>
      <c r="D690">
        <f>_xlfn.XLOOKUP(A690, 'bathroom data'!A:A, 'bathroom data'!B:B, "Not Found")</f>
        <v>3</v>
      </c>
      <c r="E690" t="str">
        <f>_xlfn.XLOOKUP(A690, 'bedroom data'!A:A, 'bedroom data'!C:C, "Not Found")</f>
        <v>Columbia Heights</v>
      </c>
      <c r="F690" t="s">
        <v>678</v>
      </c>
      <c r="G690" t="s">
        <v>121</v>
      </c>
      <c r="H690" t="s">
        <v>474</v>
      </c>
      <c r="I690">
        <v>0</v>
      </c>
      <c r="J690" t="s">
        <v>121</v>
      </c>
      <c r="K690" t="s">
        <v>13</v>
      </c>
      <c r="L690" t="s">
        <v>13</v>
      </c>
    </row>
    <row r="691" spans="1:12" x14ac:dyDescent="0.5">
      <c r="A691" t="s">
        <v>997</v>
      </c>
      <c r="B691">
        <f>_xlfn.XLOOKUP(A691, 'sqft data'!A:A, 'sqft data'!C:C, "Not Found")</f>
        <v>2600</v>
      </c>
      <c r="C691">
        <f>_xlfn.XLOOKUP(A691, 'bedroom data'!A:A, 'bedroom data'!B:B, "Not Found")</f>
        <v>3</v>
      </c>
      <c r="D691">
        <f>_xlfn.XLOOKUP(A691, 'bathroom data'!A:A, 'bathroom data'!B:B, "Not Found")</f>
        <v>3.5</v>
      </c>
      <c r="E691" t="str">
        <f>_xlfn.XLOOKUP(A691, 'bedroom data'!A:A, 'bedroom data'!C:C, "Not Found")</f>
        <v>Logan Circle</v>
      </c>
      <c r="F691" t="s">
        <v>998</v>
      </c>
      <c r="G691" t="s">
        <v>494</v>
      </c>
      <c r="H691" t="s">
        <v>518</v>
      </c>
      <c r="I691">
        <v>0</v>
      </c>
      <c r="J691" t="s">
        <v>494</v>
      </c>
      <c r="K691" t="s">
        <v>13</v>
      </c>
      <c r="L691" t="s">
        <v>13</v>
      </c>
    </row>
    <row r="692" spans="1:12" x14ac:dyDescent="0.5">
      <c r="A692" t="s">
        <v>997</v>
      </c>
      <c r="B692">
        <f>_xlfn.XLOOKUP(A692, 'sqft data'!A:A, 'sqft data'!C:C, "Not Found")</f>
        <v>2600</v>
      </c>
      <c r="C692">
        <f>_xlfn.XLOOKUP(A692, 'bedroom data'!A:A, 'bedroom data'!B:B, "Not Found")</f>
        <v>3</v>
      </c>
      <c r="D692">
        <f>_xlfn.XLOOKUP(A692, 'bathroom data'!A:A, 'bathroom data'!B:B, "Not Found")</f>
        <v>3.5</v>
      </c>
      <c r="E692" t="str">
        <f>_xlfn.XLOOKUP(A692, 'bedroom data'!A:A, 'bedroom data'!C:C, "Not Found")</f>
        <v>Logan Circle</v>
      </c>
      <c r="F692" t="s">
        <v>998</v>
      </c>
      <c r="G692" t="s">
        <v>693</v>
      </c>
      <c r="H692" t="s">
        <v>124</v>
      </c>
      <c r="I692">
        <v>310</v>
      </c>
      <c r="J692" t="s">
        <v>350</v>
      </c>
      <c r="K692" t="s">
        <v>36</v>
      </c>
      <c r="L692" t="s">
        <v>13</v>
      </c>
    </row>
    <row r="693" spans="1:12" x14ac:dyDescent="0.5">
      <c r="A693" t="s">
        <v>999</v>
      </c>
      <c r="B693">
        <f>_xlfn.XLOOKUP(A693, 'sqft data'!A:A, 'sqft data'!C:C, "Not Found")</f>
        <v>715</v>
      </c>
      <c r="C693">
        <f>_xlfn.XLOOKUP(A693, 'bedroom data'!A:A, 'bedroom data'!B:B, "Not Found")</f>
        <v>1</v>
      </c>
      <c r="D693">
        <f>_xlfn.XLOOKUP(A693, 'bathroom data'!A:A, 'bathroom data'!B:B, "Not Found")</f>
        <v>1</v>
      </c>
      <c r="E693" t="str">
        <f>_xlfn.XLOOKUP(A693, 'bedroom data'!A:A, 'bedroom data'!C:C, "Not Found")</f>
        <v>Logan Circle</v>
      </c>
      <c r="F693" t="s">
        <v>1000</v>
      </c>
      <c r="G693" t="s">
        <v>395</v>
      </c>
      <c r="H693" t="s">
        <v>755</v>
      </c>
      <c r="I693">
        <v>134</v>
      </c>
      <c r="J693" t="s">
        <v>570</v>
      </c>
      <c r="K693" t="s">
        <v>13</v>
      </c>
      <c r="L693" t="s">
        <v>13</v>
      </c>
    </row>
    <row r="694" spans="1:12" x14ac:dyDescent="0.5">
      <c r="A694" t="s">
        <v>999</v>
      </c>
      <c r="B694">
        <f>_xlfn.XLOOKUP(A694, 'sqft data'!A:A, 'sqft data'!C:C, "Not Found")</f>
        <v>715</v>
      </c>
      <c r="C694">
        <f>_xlfn.XLOOKUP(A694, 'bedroom data'!A:A, 'bedroom data'!B:B, "Not Found")</f>
        <v>1</v>
      </c>
      <c r="D694">
        <f>_xlfn.XLOOKUP(A694, 'bathroom data'!A:A, 'bathroom data'!B:B, "Not Found")</f>
        <v>1</v>
      </c>
      <c r="E694" t="str">
        <f>_xlfn.XLOOKUP(A694, 'bedroom data'!A:A, 'bedroom data'!C:C, "Not Found")</f>
        <v>Logan Circle</v>
      </c>
      <c r="F694" t="s">
        <v>1000</v>
      </c>
      <c r="G694" t="s">
        <v>378</v>
      </c>
      <c r="H694" t="s">
        <v>298</v>
      </c>
      <c r="I694">
        <v>130</v>
      </c>
      <c r="J694" t="s">
        <v>1001</v>
      </c>
      <c r="K694" t="s">
        <v>13</v>
      </c>
      <c r="L694" t="s">
        <v>13</v>
      </c>
    </row>
    <row r="695" spans="1:12" x14ac:dyDescent="0.5">
      <c r="A695" t="s">
        <v>999</v>
      </c>
      <c r="B695">
        <f>_xlfn.XLOOKUP(A695, 'sqft data'!A:A, 'sqft data'!C:C, "Not Found")</f>
        <v>715</v>
      </c>
      <c r="C695">
        <f>_xlfn.XLOOKUP(A695, 'bedroom data'!A:A, 'bedroom data'!B:B, "Not Found")</f>
        <v>1</v>
      </c>
      <c r="D695">
        <f>_xlfn.XLOOKUP(A695, 'bathroom data'!A:A, 'bathroom data'!B:B, "Not Found")</f>
        <v>1</v>
      </c>
      <c r="E695" t="str">
        <f>_xlfn.XLOOKUP(A695, 'bedroom data'!A:A, 'bedroom data'!C:C, "Not Found")</f>
        <v>Logan Circle</v>
      </c>
      <c r="F695" t="s">
        <v>1000</v>
      </c>
      <c r="G695" t="s">
        <v>22</v>
      </c>
      <c r="H695" t="s">
        <v>883</v>
      </c>
      <c r="I695">
        <v>116</v>
      </c>
      <c r="J695" t="s">
        <v>379</v>
      </c>
      <c r="K695" t="s">
        <v>13</v>
      </c>
      <c r="L695" t="s">
        <v>13</v>
      </c>
    </row>
    <row r="696" spans="1:12" x14ac:dyDescent="0.5">
      <c r="A696" t="s">
        <v>999</v>
      </c>
      <c r="B696">
        <f>_xlfn.XLOOKUP(A696, 'sqft data'!A:A, 'sqft data'!C:C, "Not Found")</f>
        <v>715</v>
      </c>
      <c r="C696">
        <f>_xlfn.XLOOKUP(A696, 'bedroom data'!A:A, 'bedroom data'!B:B, "Not Found")</f>
        <v>1</v>
      </c>
      <c r="D696">
        <f>_xlfn.XLOOKUP(A696, 'bathroom data'!A:A, 'bathroom data'!B:B, "Not Found")</f>
        <v>1</v>
      </c>
      <c r="E696" t="str">
        <f>_xlfn.XLOOKUP(A696, 'bedroom data'!A:A, 'bedroom data'!C:C, "Not Found")</f>
        <v>Logan Circle</v>
      </c>
      <c r="F696" t="s">
        <v>1000</v>
      </c>
      <c r="G696" t="s">
        <v>403</v>
      </c>
      <c r="H696" t="s">
        <v>152</v>
      </c>
      <c r="I696">
        <v>0</v>
      </c>
      <c r="J696" t="s">
        <v>403</v>
      </c>
      <c r="K696" t="s">
        <v>13</v>
      </c>
      <c r="L696" t="s">
        <v>13</v>
      </c>
    </row>
    <row r="697" spans="1:12" x14ac:dyDescent="0.5">
      <c r="A697" t="s">
        <v>999</v>
      </c>
      <c r="B697">
        <f>_xlfn.XLOOKUP(A697, 'sqft data'!A:A, 'sqft data'!C:C, "Not Found")</f>
        <v>715</v>
      </c>
      <c r="C697">
        <f>_xlfn.XLOOKUP(A697, 'bedroom data'!A:A, 'bedroom data'!B:B, "Not Found")</f>
        <v>1</v>
      </c>
      <c r="D697">
        <f>_xlfn.XLOOKUP(A697, 'bathroom data'!A:A, 'bathroom data'!B:B, "Not Found")</f>
        <v>1</v>
      </c>
      <c r="E697" t="str">
        <f>_xlfn.XLOOKUP(A697, 'bedroom data'!A:A, 'bedroom data'!C:C, "Not Found")</f>
        <v>Logan Circle</v>
      </c>
      <c r="F697" t="s">
        <v>1000</v>
      </c>
      <c r="G697" t="s">
        <v>707</v>
      </c>
      <c r="H697" t="s">
        <v>93</v>
      </c>
      <c r="I697">
        <v>114</v>
      </c>
      <c r="J697" t="s">
        <v>802</v>
      </c>
      <c r="K697" t="s">
        <v>13</v>
      </c>
      <c r="L697" t="s">
        <v>13</v>
      </c>
    </row>
    <row r="698" spans="1:12" x14ac:dyDescent="0.5">
      <c r="A698" t="s">
        <v>999</v>
      </c>
      <c r="B698">
        <f>_xlfn.XLOOKUP(A698, 'sqft data'!A:A, 'sqft data'!C:C, "Not Found")</f>
        <v>715</v>
      </c>
      <c r="C698">
        <f>_xlfn.XLOOKUP(A698, 'bedroom data'!A:A, 'bedroom data'!B:B, "Not Found")</f>
        <v>1</v>
      </c>
      <c r="D698">
        <f>_xlfn.XLOOKUP(A698, 'bathroom data'!A:A, 'bathroom data'!B:B, "Not Found")</f>
        <v>1</v>
      </c>
      <c r="E698" t="str">
        <f>_xlfn.XLOOKUP(A698, 'bedroom data'!A:A, 'bedroom data'!C:C, "Not Found")</f>
        <v>Logan Circle</v>
      </c>
      <c r="F698" t="s">
        <v>1000</v>
      </c>
      <c r="G698" t="s">
        <v>1002</v>
      </c>
      <c r="H698" t="s">
        <v>1003</v>
      </c>
      <c r="I698">
        <v>116</v>
      </c>
      <c r="J698" t="s">
        <v>583</v>
      </c>
      <c r="K698" t="s">
        <v>13</v>
      </c>
      <c r="L698" t="s">
        <v>13</v>
      </c>
    </row>
    <row r="699" spans="1:12" x14ac:dyDescent="0.5">
      <c r="A699" t="s">
        <v>1004</v>
      </c>
      <c r="B699" t="str">
        <f>_xlfn.XLOOKUP(A699, 'sqft data'!A:A, 'sqft data'!C:C, "Not Found")</f>
        <v>Not Found</v>
      </c>
      <c r="C699">
        <f>_xlfn.XLOOKUP(A699, 'bedroom data'!A:A, 'bedroom data'!B:B, "Not Found")</f>
        <v>1</v>
      </c>
      <c r="D699">
        <f>_xlfn.XLOOKUP(A699, 'bathroom data'!A:A, 'bathroom data'!B:B, "Not Found")</f>
        <v>1</v>
      </c>
      <c r="E699" t="str">
        <f>_xlfn.XLOOKUP(A699, 'bedroom data'!A:A, 'bedroom data'!C:C, "Not Found")</f>
        <v>Logan Circle</v>
      </c>
      <c r="F699" t="s">
        <v>1005</v>
      </c>
      <c r="G699" t="s">
        <v>1006</v>
      </c>
      <c r="H699" t="s">
        <v>250</v>
      </c>
      <c r="I699">
        <v>88.82</v>
      </c>
      <c r="J699" t="s">
        <v>1007</v>
      </c>
      <c r="K699" t="s">
        <v>13</v>
      </c>
      <c r="L699" t="s">
        <v>13</v>
      </c>
    </row>
    <row r="700" spans="1:12" x14ac:dyDescent="0.5">
      <c r="A700" t="s">
        <v>1004</v>
      </c>
      <c r="B700" t="str">
        <f>_xlfn.XLOOKUP(A700, 'sqft data'!A:A, 'sqft data'!C:C, "Not Found")</f>
        <v>Not Found</v>
      </c>
      <c r="C700">
        <f>_xlfn.XLOOKUP(A700, 'bedroom data'!A:A, 'bedroom data'!B:B, "Not Found")</f>
        <v>1</v>
      </c>
      <c r="D700">
        <f>_xlfn.XLOOKUP(A700, 'bathroom data'!A:A, 'bathroom data'!B:B, "Not Found")</f>
        <v>1</v>
      </c>
      <c r="E700" t="str">
        <f>_xlfn.XLOOKUP(A700, 'bedroom data'!A:A, 'bedroom data'!C:C, "Not Found")</f>
        <v>Logan Circle</v>
      </c>
      <c r="F700" t="s">
        <v>1005</v>
      </c>
      <c r="G700" t="s">
        <v>809</v>
      </c>
      <c r="H700" t="s">
        <v>266</v>
      </c>
      <c r="I700">
        <v>110</v>
      </c>
      <c r="J700" t="s">
        <v>537</v>
      </c>
      <c r="K700" t="s">
        <v>13</v>
      </c>
      <c r="L700" t="s">
        <v>13</v>
      </c>
    </row>
    <row r="701" spans="1:12" x14ac:dyDescent="0.5">
      <c r="A701" t="s">
        <v>1008</v>
      </c>
      <c r="B701">
        <f>_xlfn.XLOOKUP(A701, 'sqft data'!A:A, 'sqft data'!C:C, "Not Found")</f>
        <v>1100</v>
      </c>
      <c r="C701">
        <f>_xlfn.XLOOKUP(A701, 'bedroom data'!A:A, 'bedroom data'!B:B, "Not Found")</f>
        <v>2</v>
      </c>
      <c r="D701">
        <f>_xlfn.XLOOKUP(A701, 'bathroom data'!A:A, 'bathroom data'!B:B, "Not Found")</f>
        <v>1</v>
      </c>
      <c r="E701" t="str">
        <f>_xlfn.XLOOKUP(A701, 'bedroom data'!A:A, 'bedroom data'!C:C, "Not Found")</f>
        <v>Logan Circle</v>
      </c>
      <c r="F701" t="s">
        <v>1009</v>
      </c>
      <c r="G701" t="s">
        <v>477</v>
      </c>
      <c r="H701" t="s">
        <v>451</v>
      </c>
      <c r="I701">
        <v>145</v>
      </c>
      <c r="J701" t="s">
        <v>721</v>
      </c>
      <c r="K701" t="s">
        <v>13</v>
      </c>
      <c r="L701" t="s">
        <v>13</v>
      </c>
    </row>
    <row r="702" spans="1:12" x14ac:dyDescent="0.5">
      <c r="A702" t="s">
        <v>1008</v>
      </c>
      <c r="B702">
        <f>_xlfn.XLOOKUP(A702, 'sqft data'!A:A, 'sqft data'!C:C, "Not Found")</f>
        <v>1100</v>
      </c>
      <c r="C702">
        <f>_xlfn.XLOOKUP(A702, 'bedroom data'!A:A, 'bedroom data'!B:B, "Not Found")</f>
        <v>2</v>
      </c>
      <c r="D702">
        <f>_xlfn.XLOOKUP(A702, 'bathroom data'!A:A, 'bathroom data'!B:B, "Not Found")</f>
        <v>1</v>
      </c>
      <c r="E702" t="str">
        <f>_xlfn.XLOOKUP(A702, 'bedroom data'!A:A, 'bedroom data'!C:C, "Not Found")</f>
        <v>Logan Circle</v>
      </c>
      <c r="F702" t="s">
        <v>1009</v>
      </c>
      <c r="G702" t="s">
        <v>747</v>
      </c>
      <c r="H702" t="s">
        <v>267</v>
      </c>
      <c r="I702">
        <v>0</v>
      </c>
      <c r="J702" t="s">
        <v>747</v>
      </c>
      <c r="K702" t="s">
        <v>13</v>
      </c>
      <c r="L702" t="s">
        <v>13</v>
      </c>
    </row>
    <row r="703" spans="1:12" x14ac:dyDescent="0.5">
      <c r="A703" t="s">
        <v>1008</v>
      </c>
      <c r="B703">
        <f>_xlfn.XLOOKUP(A703, 'sqft data'!A:A, 'sqft data'!C:C, "Not Found")</f>
        <v>1100</v>
      </c>
      <c r="C703">
        <f>_xlfn.XLOOKUP(A703, 'bedroom data'!A:A, 'bedroom data'!B:B, "Not Found")</f>
        <v>2</v>
      </c>
      <c r="D703">
        <f>_xlfn.XLOOKUP(A703, 'bathroom data'!A:A, 'bathroom data'!B:B, "Not Found")</f>
        <v>1</v>
      </c>
      <c r="E703" t="str">
        <f>_xlfn.XLOOKUP(A703, 'bedroom data'!A:A, 'bedroom data'!C:C, "Not Found")</f>
        <v>Logan Circle</v>
      </c>
      <c r="F703" t="s">
        <v>1009</v>
      </c>
      <c r="G703" t="s">
        <v>573</v>
      </c>
      <c r="H703" t="s">
        <v>614</v>
      </c>
      <c r="I703">
        <v>145</v>
      </c>
      <c r="J703" t="s">
        <v>642</v>
      </c>
      <c r="K703" t="s">
        <v>13</v>
      </c>
      <c r="L703" t="s">
        <v>13</v>
      </c>
    </row>
    <row r="704" spans="1:12" x14ac:dyDescent="0.5">
      <c r="A704" t="s">
        <v>1008</v>
      </c>
      <c r="B704">
        <f>_xlfn.XLOOKUP(A704, 'sqft data'!A:A, 'sqft data'!C:C, "Not Found")</f>
        <v>1100</v>
      </c>
      <c r="C704">
        <f>_xlfn.XLOOKUP(A704, 'bedroom data'!A:A, 'bedroom data'!B:B, "Not Found")</f>
        <v>2</v>
      </c>
      <c r="D704">
        <f>_xlfn.XLOOKUP(A704, 'bathroom data'!A:A, 'bathroom data'!B:B, "Not Found")</f>
        <v>1</v>
      </c>
      <c r="E704" t="str">
        <f>_xlfn.XLOOKUP(A704, 'bedroom data'!A:A, 'bedroom data'!C:C, "Not Found")</f>
        <v>Logan Circle</v>
      </c>
      <c r="F704" t="s">
        <v>1009</v>
      </c>
      <c r="G704" t="s">
        <v>518</v>
      </c>
      <c r="H704" t="s">
        <v>233</v>
      </c>
      <c r="I704">
        <v>145</v>
      </c>
      <c r="J704" t="s">
        <v>583</v>
      </c>
      <c r="K704" t="s">
        <v>13</v>
      </c>
      <c r="L704" t="s">
        <v>13</v>
      </c>
    </row>
    <row r="705" spans="1:12" x14ac:dyDescent="0.5">
      <c r="A705" t="s">
        <v>1010</v>
      </c>
      <c r="B705" t="str">
        <f>_xlfn.XLOOKUP(A705, 'sqft data'!A:A, 'sqft data'!C:C, "Not Found")</f>
        <v>Not Found</v>
      </c>
      <c r="C705">
        <f>_xlfn.XLOOKUP(A705, 'bedroom data'!A:A, 'bedroom data'!B:B, "Not Found")</f>
        <v>1</v>
      </c>
      <c r="D705">
        <f>_xlfn.XLOOKUP(A705, 'bathroom data'!A:A, 'bathroom data'!B:B, "Not Found")</f>
        <v>1</v>
      </c>
      <c r="E705" t="str">
        <f>_xlfn.XLOOKUP(A705, 'bedroom data'!A:A, 'bedroom data'!C:C, "Not Found")</f>
        <v>Columbia Heights</v>
      </c>
      <c r="F705" t="s">
        <v>564</v>
      </c>
      <c r="G705" t="s">
        <v>1011</v>
      </c>
      <c r="H705" t="s">
        <v>16</v>
      </c>
      <c r="I705">
        <v>256.66000000000003</v>
      </c>
      <c r="J705" t="s">
        <v>1012</v>
      </c>
      <c r="K705" t="s">
        <v>13</v>
      </c>
      <c r="L705" t="s">
        <v>13</v>
      </c>
    </row>
    <row r="706" spans="1:12" x14ac:dyDescent="0.5">
      <c r="A706" t="s">
        <v>1010</v>
      </c>
      <c r="B706" t="str">
        <f>_xlfn.XLOOKUP(A706, 'sqft data'!A:A, 'sqft data'!C:C, "Not Found")</f>
        <v>Not Found</v>
      </c>
      <c r="C706">
        <f>_xlfn.XLOOKUP(A706, 'bedroom data'!A:A, 'bedroom data'!B:B, "Not Found")</f>
        <v>1</v>
      </c>
      <c r="D706">
        <f>_xlfn.XLOOKUP(A706, 'bathroom data'!A:A, 'bathroom data'!B:B, "Not Found")</f>
        <v>1</v>
      </c>
      <c r="E706" t="str">
        <f>_xlfn.XLOOKUP(A706, 'bedroom data'!A:A, 'bedroom data'!C:C, "Not Found")</f>
        <v>Columbia Heights</v>
      </c>
      <c r="F706" t="s">
        <v>564</v>
      </c>
      <c r="G706" t="s">
        <v>755</v>
      </c>
      <c r="H706" t="s">
        <v>194</v>
      </c>
      <c r="I706">
        <v>107</v>
      </c>
      <c r="J706" t="s">
        <v>169</v>
      </c>
      <c r="K706" t="s">
        <v>13</v>
      </c>
      <c r="L706" t="s">
        <v>36</v>
      </c>
    </row>
    <row r="707" spans="1:12" x14ac:dyDescent="0.5">
      <c r="A707" t="s">
        <v>1013</v>
      </c>
      <c r="B707" t="str">
        <f>_xlfn.XLOOKUP(A707, 'sqft data'!A:A, 'sqft data'!C:C, "Not Found")</f>
        <v>Not Found</v>
      </c>
      <c r="C707">
        <f>_xlfn.XLOOKUP(A707, 'bedroom data'!A:A, 'bedroom data'!B:B, "Not Found")</f>
        <v>1</v>
      </c>
      <c r="D707">
        <f>_xlfn.XLOOKUP(A707, 'bathroom data'!A:A, 'bathroom data'!B:B, "Not Found")</f>
        <v>1</v>
      </c>
      <c r="E707" t="str">
        <f>_xlfn.XLOOKUP(A707, 'bedroom data'!A:A, 'bedroom data'!C:C, "Not Found")</f>
        <v>Capitol Hill</v>
      </c>
      <c r="F707" t="s">
        <v>564</v>
      </c>
      <c r="G707" t="s">
        <v>893</v>
      </c>
      <c r="H707" t="s">
        <v>380</v>
      </c>
      <c r="I707">
        <v>103</v>
      </c>
      <c r="J707" t="s">
        <v>1014</v>
      </c>
      <c r="K707" t="s">
        <v>13</v>
      </c>
      <c r="L707" t="s">
        <v>13</v>
      </c>
    </row>
    <row r="708" spans="1:12" x14ac:dyDescent="0.5">
      <c r="A708" t="s">
        <v>1013</v>
      </c>
      <c r="B708" t="str">
        <f>_xlfn.XLOOKUP(A708, 'sqft data'!A:A, 'sqft data'!C:C, "Not Found")</f>
        <v>Not Found</v>
      </c>
      <c r="C708">
        <f>_xlfn.XLOOKUP(A708, 'bedroom data'!A:A, 'bedroom data'!B:B, "Not Found")</f>
        <v>1</v>
      </c>
      <c r="D708">
        <f>_xlfn.XLOOKUP(A708, 'bathroom data'!A:A, 'bathroom data'!B:B, "Not Found")</f>
        <v>1</v>
      </c>
      <c r="E708" t="str">
        <f>_xlfn.XLOOKUP(A708, 'bedroom data'!A:A, 'bedroom data'!C:C, "Not Found")</f>
        <v>Capitol Hill</v>
      </c>
      <c r="F708" t="s">
        <v>564</v>
      </c>
      <c r="G708" t="s">
        <v>357</v>
      </c>
      <c r="H708" t="s">
        <v>208</v>
      </c>
      <c r="I708">
        <v>103</v>
      </c>
      <c r="J708" t="s">
        <v>388</v>
      </c>
      <c r="K708" t="s">
        <v>13</v>
      </c>
      <c r="L708" t="s">
        <v>13</v>
      </c>
    </row>
    <row r="709" spans="1:12" x14ac:dyDescent="0.5">
      <c r="A709" t="s">
        <v>1015</v>
      </c>
      <c r="B709" t="str">
        <f>_xlfn.XLOOKUP(A709, 'sqft data'!A:A, 'sqft data'!C:C, "Not Found")</f>
        <v>Not Found</v>
      </c>
      <c r="C709">
        <f>_xlfn.XLOOKUP(A709, 'bedroom data'!A:A, 'bedroom data'!B:B, "Not Found")</f>
        <v>1</v>
      </c>
      <c r="D709">
        <f>_xlfn.XLOOKUP(A709, 'bathroom data'!A:A, 'bathroom data'!B:B, "Not Found")</f>
        <v>1</v>
      </c>
      <c r="E709" t="str">
        <f>_xlfn.XLOOKUP(A709, 'bedroom data'!A:A, 'bedroom data'!C:C, "Not Found")</f>
        <v>Capitol Hill</v>
      </c>
      <c r="F709" t="s">
        <v>564</v>
      </c>
      <c r="G709" t="s">
        <v>1016</v>
      </c>
      <c r="H709" t="s">
        <v>551</v>
      </c>
      <c r="I709">
        <v>108</v>
      </c>
      <c r="J709" t="s">
        <v>1017</v>
      </c>
      <c r="K709" t="s">
        <v>13</v>
      </c>
      <c r="L709" t="s">
        <v>13</v>
      </c>
    </row>
    <row r="710" spans="1:12" x14ac:dyDescent="0.5">
      <c r="A710" t="s">
        <v>1018</v>
      </c>
      <c r="B710" t="str">
        <f>_xlfn.XLOOKUP(A710, 'sqft data'!A:A, 'sqft data'!C:C, "Not Found")</f>
        <v>Not Found</v>
      </c>
      <c r="C710">
        <f>_xlfn.XLOOKUP(A710, 'bedroom data'!A:A, 'bedroom data'!B:B, "Not Found")</f>
        <v>1</v>
      </c>
      <c r="D710">
        <f>_xlfn.XLOOKUP(A710, 'bathroom data'!A:A, 'bathroom data'!B:B, "Not Found")</f>
        <v>1</v>
      </c>
      <c r="E710" t="str">
        <f>_xlfn.XLOOKUP(A710, 'bedroom data'!A:A, 'bedroom data'!C:C, "Not Found")</f>
        <v>Capitol Hill</v>
      </c>
      <c r="F710" t="s">
        <v>564</v>
      </c>
      <c r="G710" t="s">
        <v>602</v>
      </c>
      <c r="H710" t="s">
        <v>300</v>
      </c>
      <c r="I710">
        <v>104</v>
      </c>
      <c r="J710" t="s">
        <v>1019</v>
      </c>
      <c r="K710" t="s">
        <v>13</v>
      </c>
      <c r="L710" t="s">
        <v>13</v>
      </c>
    </row>
    <row r="711" spans="1:12" x14ac:dyDescent="0.5">
      <c r="A711" t="s">
        <v>1020</v>
      </c>
      <c r="B711" t="str">
        <f>_xlfn.XLOOKUP(A711, 'sqft data'!A:A, 'sqft data'!C:C, "Not Found")</f>
        <v>Not Found</v>
      </c>
      <c r="C711">
        <f>_xlfn.XLOOKUP(A711, 'bedroom data'!A:A, 'bedroom data'!B:B, "Not Found")</f>
        <v>2</v>
      </c>
      <c r="D711">
        <f>_xlfn.XLOOKUP(A711, 'bathroom data'!A:A, 'bathroom data'!B:B, "Not Found")</f>
        <v>2</v>
      </c>
      <c r="E711" t="str">
        <f>_xlfn.XLOOKUP(A711, 'bedroom data'!A:A, 'bedroom data'!C:C, "Not Found")</f>
        <v>Capitol Hill</v>
      </c>
      <c r="F711" t="s">
        <v>1021</v>
      </c>
      <c r="G711" t="s">
        <v>676</v>
      </c>
      <c r="H711" t="s">
        <v>232</v>
      </c>
      <c r="I711">
        <v>152</v>
      </c>
      <c r="J711" t="s">
        <v>466</v>
      </c>
      <c r="K711" t="s">
        <v>13</v>
      </c>
      <c r="L711" t="s">
        <v>13</v>
      </c>
    </row>
    <row r="712" spans="1:12" x14ac:dyDescent="0.5">
      <c r="A712" t="s">
        <v>1022</v>
      </c>
      <c r="B712" t="str">
        <f>_xlfn.XLOOKUP(A712, 'sqft data'!A:A, 'sqft data'!C:C, "Not Found")</f>
        <v>Not Found</v>
      </c>
      <c r="C712">
        <f>_xlfn.XLOOKUP(A712, 'bedroom data'!A:A, 'bedroom data'!B:B, "Not Found")</f>
        <v>1</v>
      </c>
      <c r="D712">
        <f>_xlfn.XLOOKUP(A712, 'bathroom data'!A:A, 'bathroom data'!B:B, "Not Found")</f>
        <v>1.5</v>
      </c>
      <c r="E712" t="str">
        <f>_xlfn.XLOOKUP(A712, 'bedroom data'!A:A, 'bedroom data'!C:C, "Not Found")</f>
        <v>Capitol Hill</v>
      </c>
      <c r="F712" t="s">
        <v>564</v>
      </c>
      <c r="G712" t="s">
        <v>388</v>
      </c>
      <c r="H712" t="s">
        <v>73</v>
      </c>
      <c r="I712">
        <v>112</v>
      </c>
      <c r="J712" t="s">
        <v>957</v>
      </c>
      <c r="K712" t="s">
        <v>13</v>
      </c>
      <c r="L712" t="s">
        <v>13</v>
      </c>
    </row>
    <row r="713" spans="1:12" x14ac:dyDescent="0.5">
      <c r="A713" t="s">
        <v>1023</v>
      </c>
      <c r="B713" t="str">
        <f>_xlfn.XLOOKUP(A713, 'sqft data'!A:A, 'sqft data'!C:C, "Not Found")</f>
        <v>Not Found</v>
      </c>
      <c r="C713">
        <f>_xlfn.XLOOKUP(A713, 'bedroom data'!A:A, 'bedroom data'!B:B, "Not Found")</f>
        <v>1</v>
      </c>
      <c r="D713">
        <f>_xlfn.XLOOKUP(A713, 'bathroom data'!A:A, 'bathroom data'!B:B, "Not Found")</f>
        <v>1</v>
      </c>
      <c r="E713" t="str">
        <f>_xlfn.XLOOKUP(A713, 'bedroom data'!A:A, 'bedroom data'!C:C, "Not Found")</f>
        <v>Capitol Hill</v>
      </c>
      <c r="F713" t="s">
        <v>564</v>
      </c>
      <c r="G713" t="s">
        <v>26</v>
      </c>
      <c r="H713" t="s">
        <v>22</v>
      </c>
      <c r="I713">
        <v>103</v>
      </c>
      <c r="J713" t="s">
        <v>169</v>
      </c>
      <c r="K713" t="s">
        <v>13</v>
      </c>
      <c r="L713" t="s">
        <v>13</v>
      </c>
    </row>
    <row r="714" spans="1:12" x14ac:dyDescent="0.5">
      <c r="A714" t="s">
        <v>1023</v>
      </c>
      <c r="B714" t="str">
        <f>_xlfn.XLOOKUP(A714, 'sqft data'!A:A, 'sqft data'!C:C, "Not Found")</f>
        <v>Not Found</v>
      </c>
      <c r="C714">
        <f>_xlfn.XLOOKUP(A714, 'bedroom data'!A:A, 'bedroom data'!B:B, "Not Found")</f>
        <v>1</v>
      </c>
      <c r="D714">
        <f>_xlfn.XLOOKUP(A714, 'bathroom data'!A:A, 'bathroom data'!B:B, "Not Found")</f>
        <v>1</v>
      </c>
      <c r="E714" t="str">
        <f>_xlfn.XLOOKUP(A714, 'bedroom data'!A:A, 'bedroom data'!C:C, "Not Found")</f>
        <v>Capitol Hill</v>
      </c>
      <c r="F714" t="s">
        <v>564</v>
      </c>
      <c r="G714" t="s">
        <v>22</v>
      </c>
      <c r="H714" t="s">
        <v>537</v>
      </c>
      <c r="I714">
        <v>108</v>
      </c>
      <c r="J714" t="s">
        <v>345</v>
      </c>
      <c r="K714" t="s">
        <v>13</v>
      </c>
      <c r="L714" t="s">
        <v>13</v>
      </c>
    </row>
    <row r="715" spans="1:12" x14ac:dyDescent="0.5">
      <c r="A715" t="s">
        <v>1024</v>
      </c>
      <c r="B715" t="str">
        <f>_xlfn.XLOOKUP(A715, 'sqft data'!A:A, 'sqft data'!C:C, "Not Found")</f>
        <v>Not Found</v>
      </c>
      <c r="C715">
        <f>_xlfn.XLOOKUP(A715, 'bedroom data'!A:A, 'bedroom data'!B:B, "Not Found")</f>
        <v>1</v>
      </c>
      <c r="D715">
        <f>_xlfn.XLOOKUP(A715, 'bathroom data'!A:A, 'bathroom data'!B:B, "Not Found")</f>
        <v>1</v>
      </c>
      <c r="E715" t="str">
        <f>_xlfn.XLOOKUP(A715, 'bedroom data'!A:A, 'bedroom data'!C:C, "Not Found")</f>
        <v>Capitol Hill</v>
      </c>
      <c r="F715" t="s">
        <v>564</v>
      </c>
      <c r="G715" t="s">
        <v>849</v>
      </c>
      <c r="H715" t="s">
        <v>133</v>
      </c>
      <c r="I715">
        <v>98</v>
      </c>
      <c r="J715" t="s">
        <v>49</v>
      </c>
      <c r="K715" t="s">
        <v>13</v>
      </c>
      <c r="L715" t="s">
        <v>13</v>
      </c>
    </row>
    <row r="716" spans="1:12" x14ac:dyDescent="0.5">
      <c r="A716" t="s">
        <v>1024</v>
      </c>
      <c r="B716" t="str">
        <f>_xlfn.XLOOKUP(A716, 'sqft data'!A:A, 'sqft data'!C:C, "Not Found")</f>
        <v>Not Found</v>
      </c>
      <c r="C716">
        <f>_xlfn.XLOOKUP(A716, 'bedroom data'!A:A, 'bedroom data'!B:B, "Not Found")</f>
        <v>1</v>
      </c>
      <c r="D716">
        <f>_xlfn.XLOOKUP(A716, 'bathroom data'!A:A, 'bathroom data'!B:B, "Not Found")</f>
        <v>1</v>
      </c>
      <c r="E716" t="str">
        <f>_xlfn.XLOOKUP(A716, 'bedroom data'!A:A, 'bedroom data'!C:C, "Not Found")</f>
        <v>Capitol Hill</v>
      </c>
      <c r="F716" t="s">
        <v>564</v>
      </c>
      <c r="G716" t="s">
        <v>291</v>
      </c>
      <c r="H716" t="s">
        <v>672</v>
      </c>
      <c r="I716">
        <v>98</v>
      </c>
      <c r="J716" t="s">
        <v>570</v>
      </c>
      <c r="K716" t="s">
        <v>13</v>
      </c>
      <c r="L716" t="s">
        <v>36</v>
      </c>
    </row>
    <row r="717" spans="1:12" x14ac:dyDescent="0.5">
      <c r="A717" t="s">
        <v>1025</v>
      </c>
      <c r="B717" t="str">
        <f>_xlfn.XLOOKUP(A717, 'sqft data'!A:A, 'sqft data'!C:C, "Not Found")</f>
        <v>Not Found</v>
      </c>
      <c r="C717">
        <f>_xlfn.XLOOKUP(A717, 'bedroom data'!A:A, 'bedroom data'!B:B, "Not Found")</f>
        <v>1</v>
      </c>
      <c r="D717">
        <f>_xlfn.XLOOKUP(A717, 'bathroom data'!A:A, 'bathroom data'!B:B, "Not Found")</f>
        <v>1</v>
      </c>
      <c r="E717" t="str">
        <f>_xlfn.XLOOKUP(A717, 'bedroom data'!A:A, 'bedroom data'!C:C, "Not Found")</f>
        <v>Capitol Hill</v>
      </c>
      <c r="F717" t="s">
        <v>564</v>
      </c>
      <c r="G717" t="s">
        <v>39</v>
      </c>
      <c r="H717" t="s">
        <v>159</v>
      </c>
      <c r="I717">
        <v>104</v>
      </c>
      <c r="J717" t="s">
        <v>299</v>
      </c>
      <c r="K717" t="s">
        <v>13</v>
      </c>
      <c r="L717" t="s">
        <v>13</v>
      </c>
    </row>
    <row r="718" spans="1:12" x14ac:dyDescent="0.5">
      <c r="A718" t="s">
        <v>1026</v>
      </c>
      <c r="B718" t="str">
        <f>_xlfn.XLOOKUP(A718, 'sqft data'!A:A, 'sqft data'!C:C, "Not Found")</f>
        <v>Not Found</v>
      </c>
      <c r="C718">
        <f>_xlfn.XLOOKUP(A718, 'bedroom data'!A:A, 'bedroom data'!B:B, "Not Found")</f>
        <v>1</v>
      </c>
      <c r="D718">
        <f>_xlfn.XLOOKUP(A718, 'bathroom data'!A:A, 'bathroom data'!B:B, "Not Found")</f>
        <v>1</v>
      </c>
      <c r="E718" t="str">
        <f>_xlfn.XLOOKUP(A718, 'bedroom data'!A:A, 'bedroom data'!C:C, "Not Found")</f>
        <v>Capitol Hill</v>
      </c>
      <c r="F718" t="s">
        <v>564</v>
      </c>
      <c r="G718" t="s">
        <v>776</v>
      </c>
      <c r="H718" t="s">
        <v>168</v>
      </c>
      <c r="I718">
        <v>115</v>
      </c>
      <c r="J718" t="s">
        <v>842</v>
      </c>
      <c r="K718" t="s">
        <v>13</v>
      </c>
      <c r="L718" t="s">
        <v>36</v>
      </c>
    </row>
    <row r="719" spans="1:12" x14ac:dyDescent="0.5">
      <c r="A719" t="s">
        <v>1027</v>
      </c>
      <c r="B719" t="str">
        <f>_xlfn.XLOOKUP(A719, 'sqft data'!A:A, 'sqft data'!C:C, "Not Found")</f>
        <v>Not Found</v>
      </c>
      <c r="C719">
        <f>_xlfn.XLOOKUP(A719, 'bedroom data'!A:A, 'bedroom data'!B:B, "Not Found")</f>
        <v>3</v>
      </c>
      <c r="D719">
        <f>_xlfn.XLOOKUP(A719, 'bathroom data'!A:A, 'bathroom data'!B:B, "Not Found")</f>
        <v>2</v>
      </c>
      <c r="E719" t="str">
        <f>_xlfn.XLOOKUP(A719, 'bedroom data'!A:A, 'bedroom data'!C:C, "Not Found")</f>
        <v>Capitol Hill</v>
      </c>
      <c r="F719" t="s">
        <v>1021</v>
      </c>
      <c r="G719" t="s">
        <v>470</v>
      </c>
      <c r="H719" t="s">
        <v>523</v>
      </c>
      <c r="I719">
        <v>148</v>
      </c>
      <c r="J719" t="s">
        <v>632</v>
      </c>
      <c r="K719" t="s">
        <v>13</v>
      </c>
      <c r="L719" t="s">
        <v>36</v>
      </c>
    </row>
    <row r="720" spans="1:12" x14ac:dyDescent="0.5">
      <c r="A720" t="s">
        <v>1027</v>
      </c>
      <c r="B720" t="str">
        <f>_xlfn.XLOOKUP(A720, 'sqft data'!A:A, 'sqft data'!C:C, "Not Found")</f>
        <v>Not Found</v>
      </c>
      <c r="C720">
        <f>_xlfn.XLOOKUP(A720, 'bedroom data'!A:A, 'bedroom data'!B:B, "Not Found")</f>
        <v>3</v>
      </c>
      <c r="D720">
        <f>_xlfn.XLOOKUP(A720, 'bathroom data'!A:A, 'bathroom data'!B:B, "Not Found")</f>
        <v>2</v>
      </c>
      <c r="E720" t="str">
        <f>_xlfn.XLOOKUP(A720, 'bedroom data'!A:A, 'bedroom data'!C:C, "Not Found")</f>
        <v>Capitol Hill</v>
      </c>
      <c r="F720" t="s">
        <v>1021</v>
      </c>
      <c r="G720" t="s">
        <v>175</v>
      </c>
      <c r="H720" t="s">
        <v>904</v>
      </c>
      <c r="I720">
        <v>0</v>
      </c>
      <c r="J720" t="s">
        <v>599</v>
      </c>
      <c r="K720" t="s">
        <v>13</v>
      </c>
      <c r="L720" t="s">
        <v>13</v>
      </c>
    </row>
    <row r="721" spans="1:12" x14ac:dyDescent="0.5">
      <c r="A721" t="s">
        <v>1028</v>
      </c>
      <c r="B721">
        <f>_xlfn.XLOOKUP(A721, 'sqft data'!A:A, 'sqft data'!C:C, "Not Found")</f>
        <v>1400</v>
      </c>
      <c r="C721">
        <f>_xlfn.XLOOKUP(A721, 'bedroom data'!A:A, 'bedroom data'!B:B, "Not Found")</f>
        <v>2</v>
      </c>
      <c r="D721">
        <f>_xlfn.XLOOKUP(A721, 'bathroom data'!A:A, 'bathroom data'!B:B, "Not Found")</f>
        <v>2</v>
      </c>
      <c r="E721" t="str">
        <f>_xlfn.XLOOKUP(A721, 'bedroom data'!A:A, 'bedroom data'!C:C, "Not Found")</f>
        <v>Logan Circle</v>
      </c>
      <c r="F721" t="s">
        <v>1029</v>
      </c>
      <c r="G721" t="s">
        <v>956</v>
      </c>
      <c r="H721" t="s">
        <v>281</v>
      </c>
      <c r="I721">
        <v>170</v>
      </c>
      <c r="J721" t="s">
        <v>393</v>
      </c>
      <c r="K721" t="s">
        <v>36</v>
      </c>
      <c r="L721" t="s">
        <v>13</v>
      </c>
    </row>
    <row r="722" spans="1:12" x14ac:dyDescent="0.5">
      <c r="A722" t="s">
        <v>1028</v>
      </c>
      <c r="B722">
        <f>_xlfn.XLOOKUP(A722, 'sqft data'!A:A, 'sqft data'!C:C, "Not Found")</f>
        <v>1400</v>
      </c>
      <c r="C722">
        <f>_xlfn.XLOOKUP(A722, 'bedroom data'!A:A, 'bedroom data'!B:B, "Not Found")</f>
        <v>2</v>
      </c>
      <c r="D722">
        <f>_xlfn.XLOOKUP(A722, 'bathroom data'!A:A, 'bathroom data'!B:B, "Not Found")</f>
        <v>2</v>
      </c>
      <c r="E722" t="str">
        <f>_xlfn.XLOOKUP(A722, 'bedroom data'!A:A, 'bedroom data'!C:C, "Not Found")</f>
        <v>Logan Circle</v>
      </c>
      <c r="F722" t="s">
        <v>1029</v>
      </c>
      <c r="G722" t="s">
        <v>111</v>
      </c>
      <c r="H722" t="s">
        <v>55</v>
      </c>
      <c r="I722">
        <v>0</v>
      </c>
      <c r="J722" t="s">
        <v>306</v>
      </c>
      <c r="K722" t="s">
        <v>13</v>
      </c>
      <c r="L722" t="s">
        <v>13</v>
      </c>
    </row>
    <row r="723" spans="1:12" x14ac:dyDescent="0.5">
      <c r="A723" t="s">
        <v>1028</v>
      </c>
      <c r="B723">
        <f>_xlfn.XLOOKUP(A723, 'sqft data'!A:A, 'sqft data'!C:C, "Not Found")</f>
        <v>1400</v>
      </c>
      <c r="C723">
        <f>_xlfn.XLOOKUP(A723, 'bedroom data'!A:A, 'bedroom data'!B:B, "Not Found")</f>
        <v>2</v>
      </c>
      <c r="D723">
        <f>_xlfn.XLOOKUP(A723, 'bathroom data'!A:A, 'bathroom data'!B:B, "Not Found")</f>
        <v>2</v>
      </c>
      <c r="E723" t="str">
        <f>_xlfn.XLOOKUP(A723, 'bedroom data'!A:A, 'bedroom data'!C:C, "Not Found")</f>
        <v>Logan Circle</v>
      </c>
      <c r="F723" t="s">
        <v>1029</v>
      </c>
      <c r="G723" t="s">
        <v>16</v>
      </c>
      <c r="H723" t="s">
        <v>16</v>
      </c>
      <c r="I723">
        <v>185</v>
      </c>
      <c r="J723" t="s">
        <v>181</v>
      </c>
      <c r="K723" t="s">
        <v>36</v>
      </c>
      <c r="L723" t="s">
        <v>13</v>
      </c>
    </row>
    <row r="724" spans="1:12" x14ac:dyDescent="0.5">
      <c r="A724" t="s">
        <v>1028</v>
      </c>
      <c r="B724">
        <f>_xlfn.XLOOKUP(A724, 'sqft data'!A:A, 'sqft data'!C:C, "Not Found")</f>
        <v>1400</v>
      </c>
      <c r="C724">
        <f>_xlfn.XLOOKUP(A724, 'bedroom data'!A:A, 'bedroom data'!B:B, "Not Found")</f>
        <v>2</v>
      </c>
      <c r="D724">
        <f>_xlfn.XLOOKUP(A724, 'bathroom data'!A:A, 'bathroom data'!B:B, "Not Found")</f>
        <v>2</v>
      </c>
      <c r="E724" t="str">
        <f>_xlfn.XLOOKUP(A724, 'bedroom data'!A:A, 'bedroom data'!C:C, "Not Found")</f>
        <v>Logan Circle</v>
      </c>
      <c r="F724" t="s">
        <v>1029</v>
      </c>
      <c r="G724" t="s">
        <v>16</v>
      </c>
      <c r="H724" t="s">
        <v>442</v>
      </c>
      <c r="I724">
        <v>185</v>
      </c>
      <c r="J724" t="s">
        <v>226</v>
      </c>
      <c r="K724" t="s">
        <v>36</v>
      </c>
      <c r="L724" t="s">
        <v>13</v>
      </c>
    </row>
    <row r="725" spans="1:12" x14ac:dyDescent="0.5">
      <c r="A725" t="s">
        <v>1028</v>
      </c>
      <c r="B725">
        <f>_xlfn.XLOOKUP(A725, 'sqft data'!A:A, 'sqft data'!C:C, "Not Found")</f>
        <v>1400</v>
      </c>
      <c r="C725">
        <f>_xlfn.XLOOKUP(A725, 'bedroom data'!A:A, 'bedroom data'!B:B, "Not Found")</f>
        <v>2</v>
      </c>
      <c r="D725">
        <f>_xlfn.XLOOKUP(A725, 'bathroom data'!A:A, 'bathroom data'!B:B, "Not Found")</f>
        <v>2</v>
      </c>
      <c r="E725" t="str">
        <f>_xlfn.XLOOKUP(A725, 'bedroom data'!A:A, 'bedroom data'!C:C, "Not Found")</f>
        <v>Logan Circle</v>
      </c>
      <c r="F725" t="s">
        <v>1029</v>
      </c>
      <c r="G725" t="s">
        <v>873</v>
      </c>
      <c r="H725" t="s">
        <v>1030</v>
      </c>
      <c r="I725">
        <v>0</v>
      </c>
      <c r="J725" t="s">
        <v>873</v>
      </c>
      <c r="K725" t="s">
        <v>13</v>
      </c>
      <c r="L725" t="s">
        <v>13</v>
      </c>
    </row>
    <row r="726" spans="1:12" x14ac:dyDescent="0.5">
      <c r="A726" t="s">
        <v>1028</v>
      </c>
      <c r="B726">
        <f>_xlfn.XLOOKUP(A726, 'sqft data'!A:A, 'sqft data'!C:C, "Not Found")</f>
        <v>1400</v>
      </c>
      <c r="C726">
        <f>_xlfn.XLOOKUP(A726, 'bedroom data'!A:A, 'bedroom data'!B:B, "Not Found")</f>
        <v>2</v>
      </c>
      <c r="D726">
        <f>_xlfn.XLOOKUP(A726, 'bathroom data'!A:A, 'bathroom data'!B:B, "Not Found")</f>
        <v>2</v>
      </c>
      <c r="E726" t="str">
        <f>_xlfn.XLOOKUP(A726, 'bedroom data'!A:A, 'bedroom data'!C:C, "Not Found")</f>
        <v>Logan Circle</v>
      </c>
      <c r="F726" t="s">
        <v>1029</v>
      </c>
      <c r="G726" t="s">
        <v>523</v>
      </c>
      <c r="H726" t="s">
        <v>675</v>
      </c>
      <c r="I726">
        <v>175</v>
      </c>
      <c r="J726" t="s">
        <v>585</v>
      </c>
      <c r="K726" t="s">
        <v>36</v>
      </c>
      <c r="L726" t="s">
        <v>13</v>
      </c>
    </row>
    <row r="727" spans="1:12" x14ac:dyDescent="0.5">
      <c r="A727" t="s">
        <v>1031</v>
      </c>
      <c r="B727">
        <f>_xlfn.XLOOKUP(A727, 'sqft data'!A:A, 'sqft data'!C:C, "Not Found")</f>
        <v>650</v>
      </c>
      <c r="C727">
        <f>_xlfn.XLOOKUP(A727, 'bedroom data'!A:A, 'bedroom data'!B:B, "Not Found")</f>
        <v>1</v>
      </c>
      <c r="D727">
        <f>_xlfn.XLOOKUP(A727, 'bathroom data'!A:A, 'bathroom data'!B:B, "Not Found")</f>
        <v>1</v>
      </c>
      <c r="E727" t="str">
        <f>_xlfn.XLOOKUP(A727, 'bedroom data'!A:A, 'bedroom data'!C:C, "Not Found")</f>
        <v>Logan Circle</v>
      </c>
      <c r="F727" t="s">
        <v>325</v>
      </c>
      <c r="G727" t="s">
        <v>227</v>
      </c>
      <c r="H727" t="s">
        <v>810</v>
      </c>
      <c r="I727">
        <v>122</v>
      </c>
      <c r="J727" t="s">
        <v>172</v>
      </c>
      <c r="K727" t="s">
        <v>13</v>
      </c>
      <c r="L727" t="s">
        <v>13</v>
      </c>
    </row>
    <row r="728" spans="1:12" x14ac:dyDescent="0.5">
      <c r="A728" t="s">
        <v>1031</v>
      </c>
      <c r="B728">
        <f>_xlfn.XLOOKUP(A728, 'sqft data'!A:A, 'sqft data'!C:C, "Not Found")</f>
        <v>650</v>
      </c>
      <c r="C728">
        <f>_xlfn.XLOOKUP(A728, 'bedroom data'!A:A, 'bedroom data'!B:B, "Not Found")</f>
        <v>1</v>
      </c>
      <c r="D728">
        <f>_xlfn.XLOOKUP(A728, 'bathroom data'!A:A, 'bathroom data'!B:B, "Not Found")</f>
        <v>1</v>
      </c>
      <c r="E728" t="str">
        <f>_xlfn.XLOOKUP(A728, 'bedroom data'!A:A, 'bedroom data'!C:C, "Not Found")</f>
        <v>Logan Circle</v>
      </c>
      <c r="F728" t="s">
        <v>325</v>
      </c>
      <c r="G728" t="s">
        <v>778</v>
      </c>
      <c r="H728" t="s">
        <v>778</v>
      </c>
      <c r="I728">
        <v>116</v>
      </c>
      <c r="J728" t="s">
        <v>829</v>
      </c>
      <c r="K728" t="s">
        <v>13</v>
      </c>
      <c r="L728" t="s">
        <v>13</v>
      </c>
    </row>
    <row r="729" spans="1:12" x14ac:dyDescent="0.5">
      <c r="A729" t="s">
        <v>1031</v>
      </c>
      <c r="B729">
        <f>_xlfn.XLOOKUP(A729, 'sqft data'!A:A, 'sqft data'!C:C, "Not Found")</f>
        <v>650</v>
      </c>
      <c r="C729">
        <f>_xlfn.XLOOKUP(A729, 'bedroom data'!A:A, 'bedroom data'!B:B, "Not Found")</f>
        <v>1</v>
      </c>
      <c r="D729">
        <f>_xlfn.XLOOKUP(A729, 'bathroom data'!A:A, 'bathroom data'!B:B, "Not Found")</f>
        <v>1</v>
      </c>
      <c r="E729" t="str">
        <f>_xlfn.XLOOKUP(A729, 'bedroom data'!A:A, 'bedroom data'!C:C, "Not Found")</f>
        <v>Logan Circle</v>
      </c>
      <c r="F729" t="s">
        <v>325</v>
      </c>
      <c r="G729" t="s">
        <v>1032</v>
      </c>
      <c r="H729" t="s">
        <v>745</v>
      </c>
      <c r="I729">
        <v>0</v>
      </c>
      <c r="J729" t="s">
        <v>1032</v>
      </c>
      <c r="K729" t="s">
        <v>13</v>
      </c>
      <c r="L729" t="s">
        <v>13</v>
      </c>
    </row>
    <row r="730" spans="1:12" x14ac:dyDescent="0.5">
      <c r="A730" t="s">
        <v>1031</v>
      </c>
      <c r="B730">
        <f>_xlfn.XLOOKUP(A730, 'sqft data'!A:A, 'sqft data'!C:C, "Not Found")</f>
        <v>650</v>
      </c>
      <c r="C730">
        <f>_xlfn.XLOOKUP(A730, 'bedroom data'!A:A, 'bedroom data'!B:B, "Not Found")</f>
        <v>1</v>
      </c>
      <c r="D730">
        <f>_xlfn.XLOOKUP(A730, 'bathroom data'!A:A, 'bathroom data'!B:B, "Not Found")</f>
        <v>1</v>
      </c>
      <c r="E730" t="str">
        <f>_xlfn.XLOOKUP(A730, 'bedroom data'!A:A, 'bedroom data'!C:C, "Not Found")</f>
        <v>Logan Circle</v>
      </c>
      <c r="F730" t="s">
        <v>325</v>
      </c>
      <c r="G730" t="s">
        <v>964</v>
      </c>
      <c r="H730" t="s">
        <v>598</v>
      </c>
      <c r="I730">
        <v>99.83</v>
      </c>
      <c r="J730" t="s">
        <v>1033</v>
      </c>
      <c r="K730" t="s">
        <v>13</v>
      </c>
      <c r="L730" t="s">
        <v>13</v>
      </c>
    </row>
    <row r="731" spans="1:12" x14ac:dyDescent="0.5">
      <c r="A731" t="s">
        <v>1031</v>
      </c>
      <c r="B731">
        <f>_xlfn.XLOOKUP(A731, 'sqft data'!A:A, 'sqft data'!C:C, "Not Found")</f>
        <v>650</v>
      </c>
      <c r="C731">
        <f>_xlfn.XLOOKUP(A731, 'bedroom data'!A:A, 'bedroom data'!B:B, "Not Found")</f>
        <v>1</v>
      </c>
      <c r="D731">
        <f>_xlfn.XLOOKUP(A731, 'bathroom data'!A:A, 'bathroom data'!B:B, "Not Found")</f>
        <v>1</v>
      </c>
      <c r="E731" t="str">
        <f>_xlfn.XLOOKUP(A731, 'bedroom data'!A:A, 'bedroom data'!C:C, "Not Found")</f>
        <v>Logan Circle</v>
      </c>
      <c r="F731" t="s">
        <v>325</v>
      </c>
      <c r="G731" t="s">
        <v>431</v>
      </c>
      <c r="H731" t="s">
        <v>1034</v>
      </c>
      <c r="I731">
        <v>120</v>
      </c>
      <c r="J731" t="s">
        <v>535</v>
      </c>
      <c r="K731" t="s">
        <v>13</v>
      </c>
      <c r="L731" t="s">
        <v>13</v>
      </c>
    </row>
    <row r="732" spans="1:12" x14ac:dyDescent="0.5">
      <c r="A732" t="s">
        <v>1035</v>
      </c>
      <c r="B732">
        <f>_xlfn.XLOOKUP(A732, 'sqft data'!A:A, 'sqft data'!C:C, "Not Found")</f>
        <v>1100</v>
      </c>
      <c r="C732">
        <f>_xlfn.XLOOKUP(A732, 'bedroom data'!A:A, 'bedroom data'!B:B, "Not Found")</f>
        <v>2</v>
      </c>
      <c r="D732">
        <f>_xlfn.XLOOKUP(A732, 'bathroom data'!A:A, 'bathroom data'!B:B, "Not Found")</f>
        <v>2</v>
      </c>
      <c r="E732" t="str">
        <f>_xlfn.XLOOKUP(A732, 'bedroom data'!A:A, 'bedroom data'!C:C, "Not Found")</f>
        <v>Logan Circle</v>
      </c>
      <c r="F732" t="s">
        <v>308</v>
      </c>
      <c r="G732" t="s">
        <v>796</v>
      </c>
      <c r="H732" t="s">
        <v>133</v>
      </c>
      <c r="I732">
        <v>220</v>
      </c>
      <c r="J732" t="s">
        <v>766</v>
      </c>
      <c r="K732" t="s">
        <v>13</v>
      </c>
      <c r="L732" t="s">
        <v>13</v>
      </c>
    </row>
    <row r="733" spans="1:12" x14ac:dyDescent="0.5">
      <c r="A733" t="s">
        <v>1035</v>
      </c>
      <c r="B733">
        <f>_xlfn.XLOOKUP(A733, 'sqft data'!A:A, 'sqft data'!C:C, "Not Found")</f>
        <v>1100</v>
      </c>
      <c r="C733">
        <f>_xlfn.XLOOKUP(A733, 'bedroom data'!A:A, 'bedroom data'!B:B, "Not Found")</f>
        <v>2</v>
      </c>
      <c r="D733">
        <f>_xlfn.XLOOKUP(A733, 'bathroom data'!A:A, 'bathroom data'!B:B, "Not Found")</f>
        <v>2</v>
      </c>
      <c r="E733" t="str">
        <f>_xlfn.XLOOKUP(A733, 'bedroom data'!A:A, 'bedroom data'!C:C, "Not Found")</f>
        <v>Logan Circle</v>
      </c>
      <c r="F733" t="s">
        <v>308</v>
      </c>
      <c r="G733" t="s">
        <v>40</v>
      </c>
      <c r="H733" t="s">
        <v>666</v>
      </c>
      <c r="I733">
        <v>209</v>
      </c>
      <c r="J733" t="s">
        <v>24</v>
      </c>
      <c r="K733" t="s">
        <v>13</v>
      </c>
      <c r="L733" t="s">
        <v>13</v>
      </c>
    </row>
    <row r="734" spans="1:12" x14ac:dyDescent="0.5">
      <c r="A734" t="s">
        <v>1035</v>
      </c>
      <c r="B734">
        <f>_xlfn.XLOOKUP(A734, 'sqft data'!A:A, 'sqft data'!C:C, "Not Found")</f>
        <v>1100</v>
      </c>
      <c r="C734">
        <f>_xlfn.XLOOKUP(A734, 'bedroom data'!A:A, 'bedroom data'!B:B, "Not Found")</f>
        <v>2</v>
      </c>
      <c r="D734">
        <f>_xlfn.XLOOKUP(A734, 'bathroom data'!A:A, 'bathroom data'!B:B, "Not Found")</f>
        <v>2</v>
      </c>
      <c r="E734" t="str">
        <f>_xlfn.XLOOKUP(A734, 'bedroom data'!A:A, 'bedroom data'!C:C, "Not Found")</f>
        <v>Logan Circle</v>
      </c>
      <c r="F734" t="s">
        <v>308</v>
      </c>
      <c r="G734" t="s">
        <v>975</v>
      </c>
      <c r="H734" t="s">
        <v>253</v>
      </c>
      <c r="I734">
        <v>209</v>
      </c>
      <c r="J734" t="s">
        <v>752</v>
      </c>
      <c r="K734" t="s">
        <v>13</v>
      </c>
      <c r="L734" t="s">
        <v>13</v>
      </c>
    </row>
    <row r="735" spans="1:12" x14ac:dyDescent="0.5">
      <c r="A735" t="s">
        <v>1035</v>
      </c>
      <c r="B735">
        <f>_xlfn.XLOOKUP(A735, 'sqft data'!A:A, 'sqft data'!C:C, "Not Found")</f>
        <v>1100</v>
      </c>
      <c r="C735">
        <f>_xlfn.XLOOKUP(A735, 'bedroom data'!A:A, 'bedroom data'!B:B, "Not Found")</f>
        <v>2</v>
      </c>
      <c r="D735">
        <f>_xlfn.XLOOKUP(A735, 'bathroom data'!A:A, 'bathroom data'!B:B, "Not Found")</f>
        <v>2</v>
      </c>
      <c r="E735" t="str">
        <f>_xlfn.XLOOKUP(A735, 'bedroom data'!A:A, 'bedroom data'!C:C, "Not Found")</f>
        <v>Logan Circle</v>
      </c>
      <c r="F735" t="s">
        <v>308</v>
      </c>
      <c r="G735" t="s">
        <v>233</v>
      </c>
      <c r="H735" t="s">
        <v>1036</v>
      </c>
      <c r="I735">
        <v>209</v>
      </c>
      <c r="J735" t="s">
        <v>272</v>
      </c>
      <c r="K735" t="s">
        <v>13</v>
      </c>
      <c r="L735" t="s">
        <v>13</v>
      </c>
    </row>
    <row r="736" spans="1:12" x14ac:dyDescent="0.5">
      <c r="A736" t="s">
        <v>1037</v>
      </c>
      <c r="B736">
        <f>_xlfn.XLOOKUP(A736, 'sqft data'!A:A, 'sqft data'!C:C, "Not Found")</f>
        <v>2700</v>
      </c>
      <c r="C736">
        <f>_xlfn.XLOOKUP(A736, 'bedroom data'!A:A, 'bedroom data'!B:B, "Not Found")</f>
        <v>4</v>
      </c>
      <c r="D736">
        <f>_xlfn.XLOOKUP(A736, 'bathroom data'!A:A, 'bathroom data'!B:B, "Not Found")</f>
        <v>3.5</v>
      </c>
      <c r="E736" t="str">
        <f>_xlfn.XLOOKUP(A736, 'bedroom data'!A:A, 'bedroom data'!C:C, "Not Found")</f>
        <v>Arlington</v>
      </c>
      <c r="F736" t="s">
        <v>1038</v>
      </c>
      <c r="G736" t="s">
        <v>369</v>
      </c>
      <c r="H736" t="s">
        <v>1039</v>
      </c>
      <c r="I736">
        <v>304</v>
      </c>
      <c r="J736" t="s">
        <v>721</v>
      </c>
      <c r="K736" t="s">
        <v>36</v>
      </c>
      <c r="L736" t="s">
        <v>36</v>
      </c>
    </row>
    <row r="737" spans="1:12" x14ac:dyDescent="0.5">
      <c r="A737" t="s">
        <v>1037</v>
      </c>
      <c r="B737">
        <f>_xlfn.XLOOKUP(A737, 'sqft data'!A:A, 'sqft data'!C:C, "Not Found")</f>
        <v>2700</v>
      </c>
      <c r="C737">
        <f>_xlfn.XLOOKUP(A737, 'bedroom data'!A:A, 'bedroom data'!B:B, "Not Found")</f>
        <v>4</v>
      </c>
      <c r="D737">
        <f>_xlfn.XLOOKUP(A737, 'bathroom data'!A:A, 'bathroom data'!B:B, "Not Found")</f>
        <v>3.5</v>
      </c>
      <c r="E737" t="str">
        <f>_xlfn.XLOOKUP(A737, 'bedroom data'!A:A, 'bedroom data'!C:C, "Not Found")</f>
        <v>Arlington</v>
      </c>
      <c r="F737" t="s">
        <v>1038</v>
      </c>
      <c r="G737" t="s">
        <v>666</v>
      </c>
      <c r="H737" t="s">
        <v>253</v>
      </c>
      <c r="I737">
        <v>395</v>
      </c>
      <c r="J737" t="s">
        <v>128</v>
      </c>
      <c r="K737" t="s">
        <v>36</v>
      </c>
      <c r="L737" t="s">
        <v>36</v>
      </c>
    </row>
    <row r="738" spans="1:12" x14ac:dyDescent="0.5">
      <c r="A738" t="s">
        <v>1040</v>
      </c>
      <c r="B738">
        <f>_xlfn.XLOOKUP(A738, 'sqft data'!A:A, 'sqft data'!C:C, "Not Found")</f>
        <v>400</v>
      </c>
      <c r="C738" t="str">
        <f>_xlfn.XLOOKUP(A738, 'bedroom data'!A:A, 'bedroom data'!B:B, "Not Found")</f>
        <v>Studio</v>
      </c>
      <c r="D738">
        <f>_xlfn.XLOOKUP(A738, 'bathroom data'!A:A, 'bathroom data'!B:B, "Not Found")</f>
        <v>1</v>
      </c>
      <c r="E738" t="str">
        <f>_xlfn.XLOOKUP(A738, 'bedroom data'!A:A, 'bedroom data'!C:C, "Not Found")</f>
        <v>Logan Circle</v>
      </c>
      <c r="F738" t="s">
        <v>1041</v>
      </c>
      <c r="G738" t="s">
        <v>835</v>
      </c>
      <c r="H738" t="s">
        <v>133</v>
      </c>
      <c r="I738">
        <v>95</v>
      </c>
      <c r="J738" t="s">
        <v>1042</v>
      </c>
      <c r="K738" t="s">
        <v>13</v>
      </c>
      <c r="L738" t="s">
        <v>13</v>
      </c>
    </row>
    <row r="739" spans="1:12" x14ac:dyDescent="0.5">
      <c r="A739" t="s">
        <v>1040</v>
      </c>
      <c r="B739">
        <f>_xlfn.XLOOKUP(A739, 'sqft data'!A:A, 'sqft data'!C:C, "Not Found")</f>
        <v>400</v>
      </c>
      <c r="C739" t="str">
        <f>_xlfn.XLOOKUP(A739, 'bedroom data'!A:A, 'bedroom data'!B:B, "Not Found")</f>
        <v>Studio</v>
      </c>
      <c r="D739">
        <f>_xlfn.XLOOKUP(A739, 'bathroom data'!A:A, 'bathroom data'!B:B, "Not Found")</f>
        <v>1</v>
      </c>
      <c r="E739" t="str">
        <f>_xlfn.XLOOKUP(A739, 'bedroom data'!A:A, 'bedroom data'!C:C, "Not Found")</f>
        <v>Logan Circle</v>
      </c>
      <c r="F739" t="s">
        <v>1041</v>
      </c>
      <c r="G739" t="s">
        <v>133</v>
      </c>
      <c r="H739" t="s">
        <v>253</v>
      </c>
      <c r="I739">
        <v>99.75</v>
      </c>
      <c r="J739" t="s">
        <v>716</v>
      </c>
      <c r="K739" t="s">
        <v>13</v>
      </c>
      <c r="L739" t="s">
        <v>13</v>
      </c>
    </row>
    <row r="740" spans="1:12" x14ac:dyDescent="0.5">
      <c r="A740" t="s">
        <v>1043</v>
      </c>
      <c r="B740">
        <f>_xlfn.XLOOKUP(A740, 'sqft data'!A:A, 'sqft data'!C:C, "Not Found")</f>
        <v>2500</v>
      </c>
      <c r="C740">
        <f>_xlfn.XLOOKUP(A740, 'bedroom data'!A:A, 'bedroom data'!B:B, "Not Found")</f>
        <v>3</v>
      </c>
      <c r="D740">
        <f>_xlfn.XLOOKUP(A740, 'bathroom data'!A:A, 'bathroom data'!B:B, "Not Found")</f>
        <v>2.5</v>
      </c>
      <c r="E740" t="str">
        <f>_xlfn.XLOOKUP(A740, 'bedroom data'!A:A, 'bedroom data'!C:C, "Not Found")</f>
        <v>Bloomingdale</v>
      </c>
      <c r="F740" t="s">
        <v>553</v>
      </c>
      <c r="G740" t="s">
        <v>169</v>
      </c>
      <c r="H740" t="s">
        <v>296</v>
      </c>
      <c r="I740">
        <v>220</v>
      </c>
      <c r="J740" t="s">
        <v>797</v>
      </c>
      <c r="K740" t="s">
        <v>36</v>
      </c>
      <c r="L740" t="s">
        <v>13</v>
      </c>
    </row>
    <row r="741" spans="1:12" x14ac:dyDescent="0.5">
      <c r="A741" t="s">
        <v>1043</v>
      </c>
      <c r="B741">
        <f>_xlfn.XLOOKUP(A741, 'sqft data'!A:A, 'sqft data'!C:C, "Not Found")</f>
        <v>2500</v>
      </c>
      <c r="C741">
        <f>_xlfn.XLOOKUP(A741, 'bedroom data'!A:A, 'bedroom data'!B:B, "Not Found")</f>
        <v>3</v>
      </c>
      <c r="D741">
        <f>_xlfn.XLOOKUP(A741, 'bathroom data'!A:A, 'bathroom data'!B:B, "Not Found")</f>
        <v>2.5</v>
      </c>
      <c r="E741" t="str">
        <f>_xlfn.XLOOKUP(A741, 'bedroom data'!A:A, 'bedroom data'!C:C, "Not Found")</f>
        <v>Bloomingdale</v>
      </c>
      <c r="F741" t="s">
        <v>553</v>
      </c>
      <c r="G741" t="s">
        <v>284</v>
      </c>
      <c r="H741" t="s">
        <v>160</v>
      </c>
      <c r="I741">
        <v>220</v>
      </c>
      <c r="J741" t="s">
        <v>291</v>
      </c>
      <c r="K741" t="s">
        <v>36</v>
      </c>
      <c r="L741" t="s">
        <v>13</v>
      </c>
    </row>
    <row r="742" spans="1:12" x14ac:dyDescent="0.5">
      <c r="A742" t="s">
        <v>1043</v>
      </c>
      <c r="B742">
        <f>_xlfn.XLOOKUP(A742, 'sqft data'!A:A, 'sqft data'!C:C, "Not Found")</f>
        <v>2500</v>
      </c>
      <c r="C742">
        <f>_xlfn.XLOOKUP(A742, 'bedroom data'!A:A, 'bedroom data'!B:B, "Not Found")</f>
        <v>3</v>
      </c>
      <c r="D742">
        <f>_xlfn.XLOOKUP(A742, 'bathroom data'!A:A, 'bathroom data'!B:B, "Not Found")</f>
        <v>2.5</v>
      </c>
      <c r="E742" t="str">
        <f>_xlfn.XLOOKUP(A742, 'bedroom data'!A:A, 'bedroom data'!C:C, "Not Found")</f>
        <v>Bloomingdale</v>
      </c>
      <c r="F742" t="s">
        <v>553</v>
      </c>
      <c r="G742" t="s">
        <v>67</v>
      </c>
      <c r="H742" t="s">
        <v>705</v>
      </c>
      <c r="I742">
        <v>0</v>
      </c>
      <c r="J742" t="s">
        <v>67</v>
      </c>
      <c r="K742" t="s">
        <v>13</v>
      </c>
      <c r="L742" t="s">
        <v>13</v>
      </c>
    </row>
    <row r="743" spans="1:12" x14ac:dyDescent="0.5">
      <c r="A743" t="s">
        <v>1043</v>
      </c>
      <c r="B743">
        <f>_xlfn.XLOOKUP(A743, 'sqft data'!A:A, 'sqft data'!C:C, "Not Found")</f>
        <v>2500</v>
      </c>
      <c r="C743">
        <f>_xlfn.XLOOKUP(A743, 'bedroom data'!A:A, 'bedroom data'!B:B, "Not Found")</f>
        <v>3</v>
      </c>
      <c r="D743">
        <f>_xlfn.XLOOKUP(A743, 'bathroom data'!A:A, 'bathroom data'!B:B, "Not Found")</f>
        <v>2.5</v>
      </c>
      <c r="E743" t="str">
        <f>_xlfn.XLOOKUP(A743, 'bedroom data'!A:A, 'bedroom data'!C:C, "Not Found")</f>
        <v>Bloomingdale</v>
      </c>
      <c r="F743" t="s">
        <v>553</v>
      </c>
      <c r="G743" t="s">
        <v>811</v>
      </c>
      <c r="H743" t="s">
        <v>650</v>
      </c>
      <c r="I743">
        <v>0</v>
      </c>
      <c r="J743" t="s">
        <v>811</v>
      </c>
      <c r="K743" t="s">
        <v>13</v>
      </c>
      <c r="L743" t="s">
        <v>13</v>
      </c>
    </row>
    <row r="744" spans="1:12" x14ac:dyDescent="0.5">
      <c r="A744" t="s">
        <v>1043</v>
      </c>
      <c r="B744">
        <f>_xlfn.XLOOKUP(A744, 'sqft data'!A:A, 'sqft data'!C:C, "Not Found")</f>
        <v>2500</v>
      </c>
      <c r="C744">
        <f>_xlfn.XLOOKUP(A744, 'bedroom data'!A:A, 'bedroom data'!B:B, "Not Found")</f>
        <v>3</v>
      </c>
      <c r="D744">
        <f>_xlfn.XLOOKUP(A744, 'bathroom data'!A:A, 'bathroom data'!B:B, "Not Found")</f>
        <v>2.5</v>
      </c>
      <c r="E744" t="str">
        <f>_xlfn.XLOOKUP(A744, 'bedroom data'!A:A, 'bedroom data'!C:C, "Not Found")</f>
        <v>Bloomingdale</v>
      </c>
      <c r="F744" t="s">
        <v>553</v>
      </c>
      <c r="G744" t="s">
        <v>140</v>
      </c>
      <c r="H744" t="s">
        <v>1044</v>
      </c>
      <c r="I744">
        <v>180.98</v>
      </c>
      <c r="J744" t="s">
        <v>642</v>
      </c>
      <c r="K744" t="s">
        <v>13</v>
      </c>
      <c r="L744" t="s">
        <v>13</v>
      </c>
    </row>
    <row r="745" spans="1:12" x14ac:dyDescent="0.5">
      <c r="A745" t="s">
        <v>1043</v>
      </c>
      <c r="B745">
        <f>_xlfn.XLOOKUP(A745, 'sqft data'!A:A, 'sqft data'!C:C, "Not Found")</f>
        <v>2500</v>
      </c>
      <c r="C745">
        <f>_xlfn.XLOOKUP(A745, 'bedroom data'!A:A, 'bedroom data'!B:B, "Not Found")</f>
        <v>3</v>
      </c>
      <c r="D745">
        <f>_xlfn.XLOOKUP(A745, 'bathroom data'!A:A, 'bathroom data'!B:B, "Not Found")</f>
        <v>2.5</v>
      </c>
      <c r="E745" t="str">
        <f>_xlfn.XLOOKUP(A745, 'bedroom data'!A:A, 'bedroom data'!C:C, "Not Found")</f>
        <v>Bloomingdale</v>
      </c>
      <c r="F745" t="s">
        <v>553</v>
      </c>
      <c r="G745" t="s">
        <v>474</v>
      </c>
      <c r="H745" t="s">
        <v>238</v>
      </c>
      <c r="I745">
        <v>0</v>
      </c>
      <c r="J745" t="s">
        <v>642</v>
      </c>
      <c r="K745" t="s">
        <v>13</v>
      </c>
      <c r="L745" t="s">
        <v>13</v>
      </c>
    </row>
    <row r="746" spans="1:12" x14ac:dyDescent="0.5">
      <c r="A746" t="s">
        <v>1043</v>
      </c>
      <c r="B746">
        <f>_xlfn.XLOOKUP(A746, 'sqft data'!A:A, 'sqft data'!C:C, "Not Found")</f>
        <v>2500</v>
      </c>
      <c r="C746">
        <f>_xlfn.XLOOKUP(A746, 'bedroom data'!A:A, 'bedroom data'!B:B, "Not Found")</f>
        <v>3</v>
      </c>
      <c r="D746">
        <f>_xlfn.XLOOKUP(A746, 'bathroom data'!A:A, 'bathroom data'!B:B, "Not Found")</f>
        <v>2.5</v>
      </c>
      <c r="E746" t="str">
        <f>_xlfn.XLOOKUP(A746, 'bedroom data'!A:A, 'bedroom data'!C:C, "Not Found")</f>
        <v>Bloomingdale</v>
      </c>
      <c r="F746" t="s">
        <v>553</v>
      </c>
      <c r="G746" t="s">
        <v>498</v>
      </c>
      <c r="H746" t="s">
        <v>965</v>
      </c>
      <c r="I746">
        <v>199</v>
      </c>
      <c r="J746" t="s">
        <v>122</v>
      </c>
      <c r="K746" t="s">
        <v>36</v>
      </c>
      <c r="L746" t="s">
        <v>36</v>
      </c>
    </row>
    <row r="747" spans="1:12" x14ac:dyDescent="0.5">
      <c r="A747" t="s">
        <v>1045</v>
      </c>
      <c r="B747">
        <f>_xlfn.XLOOKUP(A747, 'sqft data'!A:A, 'sqft data'!C:C, "Not Found")</f>
        <v>1500</v>
      </c>
      <c r="C747">
        <f>_xlfn.XLOOKUP(A747, 'bedroom data'!A:A, 'bedroom data'!B:B, "Not Found")</f>
        <v>2</v>
      </c>
      <c r="D747">
        <f>_xlfn.XLOOKUP(A747, 'bathroom data'!A:A, 'bathroom data'!B:B, "Not Found")</f>
        <v>2.5</v>
      </c>
      <c r="E747" t="str">
        <f>_xlfn.XLOOKUP(A747, 'bedroom data'!A:A, 'bedroom data'!C:C, "Not Found")</f>
        <v>Capitol Hill</v>
      </c>
      <c r="F747" t="s">
        <v>950</v>
      </c>
      <c r="G747" t="s">
        <v>103</v>
      </c>
      <c r="H747" t="s">
        <v>282</v>
      </c>
      <c r="I747">
        <v>180</v>
      </c>
      <c r="J747" t="s">
        <v>755</v>
      </c>
      <c r="K747" t="s">
        <v>13</v>
      </c>
      <c r="L747" t="s">
        <v>13</v>
      </c>
    </row>
    <row r="748" spans="1:12" x14ac:dyDescent="0.5">
      <c r="A748" t="s">
        <v>1045</v>
      </c>
      <c r="B748">
        <f>_xlfn.XLOOKUP(A748, 'sqft data'!A:A, 'sqft data'!C:C, "Not Found")</f>
        <v>1500</v>
      </c>
      <c r="C748">
        <f>_xlfn.XLOOKUP(A748, 'bedroom data'!A:A, 'bedroom data'!B:B, "Not Found")</f>
        <v>2</v>
      </c>
      <c r="D748">
        <f>_xlfn.XLOOKUP(A748, 'bathroom data'!A:A, 'bathroom data'!B:B, "Not Found")</f>
        <v>2.5</v>
      </c>
      <c r="E748" t="str">
        <f>_xlfn.XLOOKUP(A748, 'bedroom data'!A:A, 'bedroom data'!C:C, "Not Found")</f>
        <v>Capitol Hill</v>
      </c>
      <c r="F748" t="s">
        <v>950</v>
      </c>
      <c r="G748" t="s">
        <v>18</v>
      </c>
      <c r="H748" t="s">
        <v>478</v>
      </c>
      <c r="I748">
        <v>187</v>
      </c>
      <c r="J748" t="s">
        <v>170</v>
      </c>
      <c r="K748" t="s">
        <v>13</v>
      </c>
      <c r="L748" t="s">
        <v>13</v>
      </c>
    </row>
    <row r="749" spans="1:12" x14ac:dyDescent="0.5">
      <c r="A749" t="s">
        <v>1045</v>
      </c>
      <c r="B749">
        <f>_xlfn.XLOOKUP(A749, 'sqft data'!A:A, 'sqft data'!C:C, "Not Found")</f>
        <v>1500</v>
      </c>
      <c r="C749">
        <f>_xlfn.XLOOKUP(A749, 'bedroom data'!A:A, 'bedroom data'!B:B, "Not Found")</f>
        <v>2</v>
      </c>
      <c r="D749">
        <f>_xlfn.XLOOKUP(A749, 'bathroom data'!A:A, 'bathroom data'!B:B, "Not Found")</f>
        <v>2.5</v>
      </c>
      <c r="E749" t="str">
        <f>_xlfn.XLOOKUP(A749, 'bedroom data'!A:A, 'bedroom data'!C:C, "Not Found")</f>
        <v>Capitol Hill</v>
      </c>
      <c r="F749" t="s">
        <v>950</v>
      </c>
      <c r="G749" t="s">
        <v>198</v>
      </c>
      <c r="H749" t="s">
        <v>1046</v>
      </c>
      <c r="I749">
        <v>187</v>
      </c>
      <c r="J749" t="s">
        <v>118</v>
      </c>
      <c r="K749" t="s">
        <v>36</v>
      </c>
      <c r="L749" t="s">
        <v>36</v>
      </c>
    </row>
    <row r="750" spans="1:12" x14ac:dyDescent="0.5">
      <c r="A750" t="s">
        <v>1047</v>
      </c>
      <c r="B750" t="str">
        <f>_xlfn.XLOOKUP(A750, 'sqft data'!A:A, 'sqft data'!C:C, "Not Found")</f>
        <v>Not Found</v>
      </c>
      <c r="C750">
        <f>_xlfn.XLOOKUP(A750, 'bedroom data'!A:A, 'bedroom data'!B:B, "Not Found")</f>
        <v>1</v>
      </c>
      <c r="D750">
        <f>_xlfn.XLOOKUP(A750, 'bathroom data'!A:A, 'bathroom data'!B:B, "Not Found")</f>
        <v>1.5</v>
      </c>
      <c r="E750" t="str">
        <f>_xlfn.XLOOKUP(A750, 'bedroom data'!A:A, 'bedroom data'!C:C, "Not Found")</f>
        <v>Logan Circle</v>
      </c>
      <c r="F750" t="s">
        <v>1048</v>
      </c>
      <c r="G750" t="s">
        <v>1049</v>
      </c>
      <c r="H750" t="s">
        <v>1050</v>
      </c>
      <c r="I750">
        <v>100</v>
      </c>
      <c r="J750" t="s">
        <v>1051</v>
      </c>
      <c r="K750" t="s">
        <v>13</v>
      </c>
      <c r="L750" t="s">
        <v>36</v>
      </c>
    </row>
    <row r="751" spans="1:12" x14ac:dyDescent="0.5">
      <c r="A751" t="s">
        <v>1052</v>
      </c>
      <c r="B751">
        <f>_xlfn.XLOOKUP(A751, 'sqft data'!A:A, 'sqft data'!C:C, "Not Found")</f>
        <v>850</v>
      </c>
      <c r="C751">
        <f>_xlfn.XLOOKUP(A751, 'bedroom data'!A:A, 'bedroom data'!B:B, "Not Found")</f>
        <v>2</v>
      </c>
      <c r="D751">
        <f>_xlfn.XLOOKUP(A751, 'bathroom data'!A:A, 'bathroom data'!B:B, "Not Found")</f>
        <v>2</v>
      </c>
      <c r="E751" t="str">
        <f>_xlfn.XLOOKUP(A751, 'bedroom data'!A:A, 'bedroom data'!C:C, "Not Found")</f>
        <v>Logan Circle</v>
      </c>
      <c r="F751" t="s">
        <v>53</v>
      </c>
      <c r="G751" t="s">
        <v>1007</v>
      </c>
      <c r="H751" t="s">
        <v>408</v>
      </c>
      <c r="I751">
        <v>150</v>
      </c>
      <c r="J751" t="s">
        <v>112</v>
      </c>
      <c r="K751" t="s">
        <v>13</v>
      </c>
      <c r="L751" t="s">
        <v>36</v>
      </c>
    </row>
    <row r="752" spans="1:12" x14ac:dyDescent="0.5">
      <c r="A752" t="s">
        <v>1052</v>
      </c>
      <c r="B752">
        <f>_xlfn.XLOOKUP(A752, 'sqft data'!A:A, 'sqft data'!C:C, "Not Found")</f>
        <v>850</v>
      </c>
      <c r="C752">
        <f>_xlfn.XLOOKUP(A752, 'bedroom data'!A:A, 'bedroom data'!B:B, "Not Found")</f>
        <v>2</v>
      </c>
      <c r="D752">
        <f>_xlfn.XLOOKUP(A752, 'bathroom data'!A:A, 'bathroom data'!B:B, "Not Found")</f>
        <v>2</v>
      </c>
      <c r="E752" t="str">
        <f>_xlfn.XLOOKUP(A752, 'bedroom data'!A:A, 'bedroom data'!C:C, "Not Found")</f>
        <v>Logan Circle</v>
      </c>
      <c r="F752" t="s">
        <v>53</v>
      </c>
      <c r="G752" t="s">
        <v>391</v>
      </c>
      <c r="H752" t="s">
        <v>99</v>
      </c>
      <c r="I752">
        <v>0</v>
      </c>
      <c r="J752" t="s">
        <v>716</v>
      </c>
      <c r="K752" t="s">
        <v>13</v>
      </c>
      <c r="L752" t="s">
        <v>13</v>
      </c>
    </row>
    <row r="753" spans="1:12" x14ac:dyDescent="0.5">
      <c r="A753" t="s">
        <v>1052</v>
      </c>
      <c r="B753">
        <f>_xlfn.XLOOKUP(A753, 'sqft data'!A:A, 'sqft data'!C:C, "Not Found")</f>
        <v>850</v>
      </c>
      <c r="C753">
        <f>_xlfn.XLOOKUP(A753, 'bedroom data'!A:A, 'bedroom data'!B:B, "Not Found")</f>
        <v>2</v>
      </c>
      <c r="D753">
        <f>_xlfn.XLOOKUP(A753, 'bathroom data'!A:A, 'bathroom data'!B:B, "Not Found")</f>
        <v>2</v>
      </c>
      <c r="E753" t="str">
        <f>_xlfn.XLOOKUP(A753, 'bedroom data'!A:A, 'bedroom data'!C:C, "Not Found")</f>
        <v>Logan Circle</v>
      </c>
      <c r="F753" t="s">
        <v>53</v>
      </c>
      <c r="G753" t="s">
        <v>227</v>
      </c>
      <c r="H753" t="s">
        <v>196</v>
      </c>
      <c r="I753">
        <v>147</v>
      </c>
      <c r="J753" t="s">
        <v>282</v>
      </c>
      <c r="K753" t="s">
        <v>13</v>
      </c>
      <c r="L753" t="s">
        <v>13</v>
      </c>
    </row>
    <row r="754" spans="1:12" x14ac:dyDescent="0.5">
      <c r="A754" t="s">
        <v>1052</v>
      </c>
      <c r="B754">
        <f>_xlfn.XLOOKUP(A754, 'sqft data'!A:A, 'sqft data'!C:C, "Not Found")</f>
        <v>850</v>
      </c>
      <c r="C754">
        <f>_xlfn.XLOOKUP(A754, 'bedroom data'!A:A, 'bedroom data'!B:B, "Not Found")</f>
        <v>2</v>
      </c>
      <c r="D754">
        <f>_xlfn.XLOOKUP(A754, 'bathroom data'!A:A, 'bathroom data'!B:B, "Not Found")</f>
        <v>2</v>
      </c>
      <c r="E754" t="str">
        <f>_xlfn.XLOOKUP(A754, 'bedroom data'!A:A, 'bedroom data'!C:C, "Not Found")</f>
        <v>Logan Circle</v>
      </c>
      <c r="F754" t="s">
        <v>53</v>
      </c>
      <c r="G754" t="s">
        <v>1053</v>
      </c>
      <c r="H754" t="s">
        <v>562</v>
      </c>
      <c r="I754">
        <v>137.76</v>
      </c>
      <c r="J754" t="s">
        <v>878</v>
      </c>
      <c r="K754" t="s">
        <v>13</v>
      </c>
      <c r="L754" t="s">
        <v>13</v>
      </c>
    </row>
    <row r="755" spans="1:12" x14ac:dyDescent="0.5">
      <c r="A755" t="s">
        <v>1052</v>
      </c>
      <c r="B755">
        <f>_xlfn.XLOOKUP(A755, 'sqft data'!A:A, 'sqft data'!C:C, "Not Found")</f>
        <v>850</v>
      </c>
      <c r="C755">
        <f>_xlfn.XLOOKUP(A755, 'bedroom data'!A:A, 'bedroom data'!B:B, "Not Found")</f>
        <v>2</v>
      </c>
      <c r="D755">
        <f>_xlfn.XLOOKUP(A755, 'bathroom data'!A:A, 'bathroom data'!B:B, "Not Found")</f>
        <v>2</v>
      </c>
      <c r="E755" t="str">
        <f>_xlfn.XLOOKUP(A755, 'bedroom data'!A:A, 'bedroom data'!C:C, "Not Found")</f>
        <v>Logan Circle</v>
      </c>
      <c r="F755" t="s">
        <v>53</v>
      </c>
      <c r="G755" t="s">
        <v>1054</v>
      </c>
      <c r="H755" t="s">
        <v>420</v>
      </c>
      <c r="I755">
        <v>135.13</v>
      </c>
      <c r="J755" t="s">
        <v>874</v>
      </c>
      <c r="K755" t="s">
        <v>13</v>
      </c>
      <c r="L755" t="s">
        <v>13</v>
      </c>
    </row>
    <row r="756" spans="1:12" x14ac:dyDescent="0.5">
      <c r="A756" t="s">
        <v>1055</v>
      </c>
      <c r="B756" t="str">
        <f>_xlfn.XLOOKUP(A756, 'sqft data'!A:A, 'sqft data'!C:C, "Not Found")</f>
        <v>Not Found</v>
      </c>
      <c r="C756">
        <f>_xlfn.XLOOKUP(A756, 'bedroom data'!A:A, 'bedroom data'!B:B, "Not Found")</f>
        <v>2</v>
      </c>
      <c r="D756">
        <f>_xlfn.XLOOKUP(A756, 'bathroom data'!A:A, 'bathroom data'!B:B, "Not Found")</f>
        <v>1.5</v>
      </c>
      <c r="E756" t="str">
        <f>_xlfn.XLOOKUP(A756, 'bedroom data'!A:A, 'bedroom data'!C:C, "Not Found")</f>
        <v>Logan Circle</v>
      </c>
      <c r="F756" t="s">
        <v>1056</v>
      </c>
      <c r="G756" t="s">
        <v>293</v>
      </c>
      <c r="H756" t="s">
        <v>192</v>
      </c>
      <c r="I756">
        <v>0</v>
      </c>
      <c r="J756" t="s">
        <v>16</v>
      </c>
      <c r="K756" t="s">
        <v>13</v>
      </c>
      <c r="L756" t="s">
        <v>13</v>
      </c>
    </row>
    <row r="757" spans="1:12" x14ac:dyDescent="0.5">
      <c r="A757" t="s">
        <v>1057</v>
      </c>
      <c r="B757" t="str">
        <f>_xlfn.XLOOKUP(A757, 'sqft data'!A:A, 'sqft data'!C:C, "Not Found")</f>
        <v>Not Found</v>
      </c>
      <c r="C757">
        <f>_xlfn.XLOOKUP(A757, 'bedroom data'!A:A, 'bedroom data'!B:B, "Not Found")</f>
        <v>1</v>
      </c>
      <c r="D757">
        <f>_xlfn.XLOOKUP(A757, 'bathroom data'!A:A, 'bathroom data'!B:B, "Not Found")</f>
        <v>1.5</v>
      </c>
      <c r="E757" t="str">
        <f>_xlfn.XLOOKUP(A757, 'bedroom data'!A:A, 'bedroom data'!C:C, "Not Found")</f>
        <v>Dupont /WestEnd</v>
      </c>
      <c r="F757" t="s">
        <v>43</v>
      </c>
      <c r="G757" t="s">
        <v>199</v>
      </c>
      <c r="H757" t="s">
        <v>1058</v>
      </c>
      <c r="I757">
        <v>307</v>
      </c>
      <c r="J757" t="s">
        <v>499</v>
      </c>
      <c r="K757" t="s">
        <v>36</v>
      </c>
      <c r="L757" t="s">
        <v>13</v>
      </c>
    </row>
    <row r="758" spans="1:12" x14ac:dyDescent="0.5">
      <c r="A758" t="s">
        <v>1059</v>
      </c>
      <c r="B758" t="str">
        <f>_xlfn.XLOOKUP(A758, 'sqft data'!A:A, 'sqft data'!C:C, "Not Found")</f>
        <v>Not Found</v>
      </c>
      <c r="C758">
        <f>_xlfn.XLOOKUP(A758, 'bedroom data'!A:A, 'bedroom data'!B:B, "Not Found")</f>
        <v>2</v>
      </c>
      <c r="D758">
        <f>_xlfn.XLOOKUP(A758, 'bathroom data'!A:A, 'bathroom data'!B:B, "Not Found")</f>
        <v>2</v>
      </c>
      <c r="E758" t="str">
        <f>_xlfn.XLOOKUP(A758, 'bedroom data'!A:A, 'bedroom data'!C:C, "Not Found")</f>
        <v>Dupont /WestEnd</v>
      </c>
      <c r="F758" t="s">
        <v>1060</v>
      </c>
      <c r="G758" t="s">
        <v>646</v>
      </c>
      <c r="H758" t="s">
        <v>189</v>
      </c>
      <c r="I758">
        <v>0</v>
      </c>
      <c r="J758" t="s">
        <v>646</v>
      </c>
      <c r="K758" t="s">
        <v>13</v>
      </c>
      <c r="L758" t="s">
        <v>13</v>
      </c>
    </row>
    <row r="759" spans="1:12" x14ac:dyDescent="0.5">
      <c r="A759" t="s">
        <v>1059</v>
      </c>
      <c r="B759" t="str">
        <f>_xlfn.XLOOKUP(A759, 'sqft data'!A:A, 'sqft data'!C:C, "Not Found")</f>
        <v>Not Found</v>
      </c>
      <c r="C759">
        <f>_xlfn.XLOOKUP(A759, 'bedroom data'!A:A, 'bedroom data'!B:B, "Not Found")</f>
        <v>2</v>
      </c>
      <c r="D759">
        <f>_xlfn.XLOOKUP(A759, 'bathroom data'!A:A, 'bathroom data'!B:B, "Not Found")</f>
        <v>2</v>
      </c>
      <c r="E759" t="str">
        <f>_xlfn.XLOOKUP(A759, 'bedroom data'!A:A, 'bedroom data'!C:C, "Not Found")</f>
        <v>Dupont /WestEnd</v>
      </c>
      <c r="F759" t="s">
        <v>1060</v>
      </c>
      <c r="G759" t="s">
        <v>288</v>
      </c>
      <c r="H759" t="s">
        <v>473</v>
      </c>
      <c r="I759">
        <v>250</v>
      </c>
      <c r="J759" t="s">
        <v>282</v>
      </c>
      <c r="K759" t="s">
        <v>36</v>
      </c>
      <c r="L759" t="s">
        <v>13</v>
      </c>
    </row>
    <row r="760" spans="1:12" x14ac:dyDescent="0.5">
      <c r="A760" t="s">
        <v>1059</v>
      </c>
      <c r="B760" t="str">
        <f>_xlfn.XLOOKUP(A760, 'sqft data'!A:A, 'sqft data'!C:C, "Not Found")</f>
        <v>Not Found</v>
      </c>
      <c r="C760">
        <f>_xlfn.XLOOKUP(A760, 'bedroom data'!A:A, 'bedroom data'!B:B, "Not Found")</f>
        <v>2</v>
      </c>
      <c r="D760">
        <f>_xlfn.XLOOKUP(A760, 'bathroom data'!A:A, 'bathroom data'!B:B, "Not Found")</f>
        <v>2</v>
      </c>
      <c r="E760" t="str">
        <f>_xlfn.XLOOKUP(A760, 'bedroom data'!A:A, 'bedroom data'!C:C, "Not Found")</f>
        <v>Dupont /WestEnd</v>
      </c>
      <c r="F760" t="s">
        <v>1060</v>
      </c>
      <c r="G760" t="s">
        <v>497</v>
      </c>
      <c r="H760" t="s">
        <v>1061</v>
      </c>
      <c r="I760">
        <v>323.33</v>
      </c>
      <c r="J760" t="s">
        <v>448</v>
      </c>
      <c r="K760" t="s">
        <v>36</v>
      </c>
      <c r="L760" t="s">
        <v>13</v>
      </c>
    </row>
    <row r="761" spans="1:12" x14ac:dyDescent="0.5">
      <c r="A761" t="s">
        <v>1062</v>
      </c>
      <c r="B761" t="str">
        <f>_xlfn.XLOOKUP(A761, 'sqft data'!A:A, 'sqft data'!C:C, "Not Found")</f>
        <v>Not Found</v>
      </c>
      <c r="C761">
        <f>_xlfn.XLOOKUP(A761, 'bedroom data'!A:A, 'bedroom data'!B:B, "Not Found")</f>
        <v>1</v>
      </c>
      <c r="D761">
        <f>_xlfn.XLOOKUP(A761, 'bathroom data'!A:A, 'bathroom data'!B:B, "Not Found")</f>
        <v>1</v>
      </c>
      <c r="E761" t="str">
        <f>_xlfn.XLOOKUP(A761, 'bedroom data'!A:A, 'bedroom data'!C:C, "Not Found")</f>
        <v>Logan Circle</v>
      </c>
      <c r="F761" t="s">
        <v>43</v>
      </c>
      <c r="G761" t="s">
        <v>87</v>
      </c>
      <c r="H761" t="s">
        <v>44</v>
      </c>
      <c r="I761">
        <v>76.66</v>
      </c>
      <c r="J761" t="s">
        <v>1063</v>
      </c>
      <c r="K761" t="s">
        <v>13</v>
      </c>
      <c r="L761" t="s">
        <v>13</v>
      </c>
    </row>
    <row r="762" spans="1:12" x14ac:dyDescent="0.5">
      <c r="A762" t="s">
        <v>1062</v>
      </c>
      <c r="B762" t="str">
        <f>_xlfn.XLOOKUP(A762, 'sqft data'!A:A, 'sqft data'!C:C, "Not Found")</f>
        <v>Not Found</v>
      </c>
      <c r="C762">
        <f>_xlfn.XLOOKUP(A762, 'bedroom data'!A:A, 'bedroom data'!B:B, "Not Found")</f>
        <v>1</v>
      </c>
      <c r="D762">
        <f>_xlfn.XLOOKUP(A762, 'bathroom data'!A:A, 'bathroom data'!B:B, "Not Found")</f>
        <v>1</v>
      </c>
      <c r="E762" t="str">
        <f>_xlfn.XLOOKUP(A762, 'bedroom data'!A:A, 'bedroom data'!C:C, "Not Found")</f>
        <v>Logan Circle</v>
      </c>
      <c r="F762" t="s">
        <v>43</v>
      </c>
      <c r="G762" t="s">
        <v>442</v>
      </c>
      <c r="H762" t="s">
        <v>1064</v>
      </c>
      <c r="I762">
        <v>88.39</v>
      </c>
      <c r="J762" t="s">
        <v>114</v>
      </c>
      <c r="K762" t="s">
        <v>13</v>
      </c>
      <c r="L762" t="s">
        <v>36</v>
      </c>
    </row>
    <row r="763" spans="1:12" x14ac:dyDescent="0.5">
      <c r="A763" t="s">
        <v>1065</v>
      </c>
      <c r="B763">
        <f>_xlfn.XLOOKUP(A763, 'sqft data'!A:A, 'sqft data'!C:C, "Not Found")</f>
        <v>1200</v>
      </c>
      <c r="C763">
        <f>_xlfn.XLOOKUP(A763, 'bedroom data'!A:A, 'bedroom data'!B:B, "Not Found")</f>
        <v>2</v>
      </c>
      <c r="D763">
        <f>_xlfn.XLOOKUP(A763, 'bathroom data'!A:A, 'bathroom data'!B:B, "Not Found")</f>
        <v>1.5</v>
      </c>
      <c r="E763" t="str">
        <f>_xlfn.XLOOKUP(A763, 'bedroom data'!A:A, 'bedroom data'!C:C, "Not Found")</f>
        <v>Capitol Hill</v>
      </c>
      <c r="F763" t="s">
        <v>982</v>
      </c>
      <c r="G763" t="s">
        <v>770</v>
      </c>
      <c r="H763" t="s">
        <v>380</v>
      </c>
      <c r="I763">
        <v>147</v>
      </c>
      <c r="J763" t="s">
        <v>1066</v>
      </c>
      <c r="K763" t="s">
        <v>13</v>
      </c>
      <c r="L763" t="s">
        <v>13</v>
      </c>
    </row>
    <row r="764" spans="1:12" x14ac:dyDescent="0.5">
      <c r="A764" t="s">
        <v>1065</v>
      </c>
      <c r="B764">
        <f>_xlfn.XLOOKUP(A764, 'sqft data'!A:A, 'sqft data'!C:C, "Not Found")</f>
        <v>1200</v>
      </c>
      <c r="C764">
        <f>_xlfn.XLOOKUP(A764, 'bedroom data'!A:A, 'bedroom data'!B:B, "Not Found")</f>
        <v>2</v>
      </c>
      <c r="D764">
        <f>_xlfn.XLOOKUP(A764, 'bathroom data'!A:A, 'bathroom data'!B:B, "Not Found")</f>
        <v>1.5</v>
      </c>
      <c r="E764" t="str">
        <f>_xlfn.XLOOKUP(A764, 'bedroom data'!A:A, 'bedroom data'!C:C, "Not Found")</f>
        <v>Capitol Hill</v>
      </c>
      <c r="F764" t="s">
        <v>982</v>
      </c>
      <c r="G764" t="s">
        <v>116</v>
      </c>
      <c r="H764" t="s">
        <v>258</v>
      </c>
      <c r="I764">
        <v>0</v>
      </c>
      <c r="J764" t="s">
        <v>959</v>
      </c>
      <c r="K764" t="s">
        <v>13</v>
      </c>
      <c r="L764" t="s">
        <v>13</v>
      </c>
    </row>
    <row r="765" spans="1:12" x14ac:dyDescent="0.5">
      <c r="A765" t="s">
        <v>1065</v>
      </c>
      <c r="B765">
        <f>_xlfn.XLOOKUP(A765, 'sqft data'!A:A, 'sqft data'!C:C, "Not Found")</f>
        <v>1200</v>
      </c>
      <c r="C765">
        <f>_xlfn.XLOOKUP(A765, 'bedroom data'!A:A, 'bedroom data'!B:B, "Not Found")</f>
        <v>2</v>
      </c>
      <c r="D765">
        <f>_xlfn.XLOOKUP(A765, 'bathroom data'!A:A, 'bathroom data'!B:B, "Not Found")</f>
        <v>1.5</v>
      </c>
      <c r="E765" t="str">
        <f>_xlfn.XLOOKUP(A765, 'bedroom data'!A:A, 'bedroom data'!C:C, "Not Found")</f>
        <v>Capitol Hill</v>
      </c>
      <c r="F765" t="s">
        <v>982</v>
      </c>
      <c r="G765" t="s">
        <v>180</v>
      </c>
      <c r="H765" t="s">
        <v>124</v>
      </c>
      <c r="I765">
        <v>130</v>
      </c>
      <c r="J765" t="s">
        <v>59</v>
      </c>
      <c r="K765" t="s">
        <v>13</v>
      </c>
      <c r="L765" t="s">
        <v>13</v>
      </c>
    </row>
    <row r="766" spans="1:12" x14ac:dyDescent="0.5">
      <c r="A766" t="s">
        <v>1067</v>
      </c>
      <c r="B766" t="str">
        <f>_xlfn.XLOOKUP(A766, 'sqft data'!A:A, 'sqft data'!C:C, "Not Found")</f>
        <v>Not Found</v>
      </c>
      <c r="C766">
        <f>_xlfn.XLOOKUP(A766, 'bedroom data'!A:A, 'bedroom data'!B:B, "Not Found")</f>
        <v>3</v>
      </c>
      <c r="D766">
        <f>_xlfn.XLOOKUP(A766, 'bathroom data'!A:A, 'bathroom data'!B:B, "Not Found")</f>
        <v>3</v>
      </c>
      <c r="E766" t="str">
        <f>_xlfn.XLOOKUP(A766, 'bedroom data'!A:A, 'bedroom data'!C:C, "Not Found")</f>
        <v>Capitol Hill</v>
      </c>
      <c r="F766" t="s">
        <v>1068</v>
      </c>
      <c r="G766" t="s">
        <v>39</v>
      </c>
      <c r="H766" t="s">
        <v>196</v>
      </c>
      <c r="I766">
        <v>201</v>
      </c>
      <c r="J766" t="s">
        <v>54</v>
      </c>
      <c r="K766" t="s">
        <v>13</v>
      </c>
      <c r="L766" t="s">
        <v>36</v>
      </c>
    </row>
    <row r="767" spans="1:12" x14ac:dyDescent="0.5">
      <c r="A767" t="s">
        <v>1069</v>
      </c>
      <c r="B767">
        <f>_xlfn.XLOOKUP(A767, 'sqft data'!A:A, 'sqft data'!C:C, "Not Found")</f>
        <v>425</v>
      </c>
      <c r="C767" t="str">
        <f>_xlfn.XLOOKUP(A767, 'bedroom data'!A:A, 'bedroom data'!B:B, "Not Found")</f>
        <v>Studio</v>
      </c>
      <c r="D767">
        <f>_xlfn.XLOOKUP(A767, 'bathroom data'!A:A, 'bathroom data'!B:B, "Not Found")</f>
        <v>1</v>
      </c>
      <c r="E767" t="str">
        <f>_xlfn.XLOOKUP(A767, 'bedroom data'!A:A, 'bedroom data'!C:C, "Not Found")</f>
        <v>Arlington</v>
      </c>
      <c r="F767" t="s">
        <v>212</v>
      </c>
      <c r="G767" t="s">
        <v>277</v>
      </c>
      <c r="H767" t="s">
        <v>407</v>
      </c>
      <c r="I767">
        <v>85</v>
      </c>
      <c r="J767" t="s">
        <v>1070</v>
      </c>
      <c r="K767" t="s">
        <v>13</v>
      </c>
      <c r="L767" t="s">
        <v>13</v>
      </c>
    </row>
    <row r="768" spans="1:12" x14ac:dyDescent="0.5">
      <c r="A768" t="s">
        <v>1069</v>
      </c>
      <c r="B768">
        <f>_xlfn.XLOOKUP(A768, 'sqft data'!A:A, 'sqft data'!C:C, "Not Found")</f>
        <v>425</v>
      </c>
      <c r="C768" t="str">
        <f>_xlfn.XLOOKUP(A768, 'bedroom data'!A:A, 'bedroom data'!B:B, "Not Found")</f>
        <v>Studio</v>
      </c>
      <c r="D768">
        <f>_xlfn.XLOOKUP(A768, 'bathroom data'!A:A, 'bathroom data'!B:B, "Not Found")</f>
        <v>1</v>
      </c>
      <c r="E768" t="str">
        <f>_xlfn.XLOOKUP(A768, 'bedroom data'!A:A, 'bedroom data'!C:C, "Not Found")</f>
        <v>Arlington</v>
      </c>
      <c r="F768" t="s">
        <v>212</v>
      </c>
      <c r="G768" t="s">
        <v>908</v>
      </c>
      <c r="H768" t="s">
        <v>58</v>
      </c>
      <c r="I768">
        <v>78</v>
      </c>
      <c r="J768" t="s">
        <v>473</v>
      </c>
      <c r="K768" t="s">
        <v>13</v>
      </c>
      <c r="L768" t="s">
        <v>13</v>
      </c>
    </row>
    <row r="769" spans="1:12" x14ac:dyDescent="0.5">
      <c r="A769" t="s">
        <v>1071</v>
      </c>
      <c r="B769" t="str">
        <f>_xlfn.XLOOKUP(A769, 'sqft data'!A:A, 'sqft data'!C:C, "Not Found")</f>
        <v>Not Found</v>
      </c>
      <c r="C769">
        <f>_xlfn.XLOOKUP(A769, 'bedroom data'!A:A, 'bedroom data'!B:B, "Not Found")</f>
        <v>1</v>
      </c>
      <c r="D769">
        <f>_xlfn.XLOOKUP(A769, 'bathroom data'!A:A, 'bathroom data'!B:B, "Not Found")</f>
        <v>1</v>
      </c>
      <c r="E769" t="str">
        <f>_xlfn.XLOOKUP(A769, 'bedroom data'!A:A, 'bedroom data'!C:C, "Not Found")</f>
        <v>Logan Circle</v>
      </c>
      <c r="F769" t="s">
        <v>775</v>
      </c>
      <c r="G769" t="s">
        <v>24</v>
      </c>
      <c r="H769" t="s">
        <v>399</v>
      </c>
      <c r="I769">
        <v>0</v>
      </c>
      <c r="J769" t="s">
        <v>24</v>
      </c>
      <c r="K769" t="s">
        <v>13</v>
      </c>
      <c r="L769" t="s">
        <v>13</v>
      </c>
    </row>
    <row r="770" spans="1:12" x14ac:dyDescent="0.5">
      <c r="A770" t="s">
        <v>1071</v>
      </c>
      <c r="B770" t="str">
        <f>_xlfn.XLOOKUP(A770, 'sqft data'!A:A, 'sqft data'!C:C, "Not Found")</f>
        <v>Not Found</v>
      </c>
      <c r="C770">
        <f>_xlfn.XLOOKUP(A770, 'bedroom data'!A:A, 'bedroom data'!B:B, "Not Found")</f>
        <v>1</v>
      </c>
      <c r="D770">
        <f>_xlfn.XLOOKUP(A770, 'bathroom data'!A:A, 'bathroom data'!B:B, "Not Found")</f>
        <v>1</v>
      </c>
      <c r="E770" t="str">
        <f>_xlfn.XLOOKUP(A770, 'bedroom data'!A:A, 'bedroom data'!C:C, "Not Found")</f>
        <v>Logan Circle</v>
      </c>
      <c r="F770" t="s">
        <v>775</v>
      </c>
      <c r="G770" t="s">
        <v>227</v>
      </c>
      <c r="H770" t="s">
        <v>810</v>
      </c>
      <c r="I770">
        <v>122</v>
      </c>
      <c r="J770" t="s">
        <v>227</v>
      </c>
      <c r="K770" t="s">
        <v>13</v>
      </c>
      <c r="L770" t="s">
        <v>13</v>
      </c>
    </row>
    <row r="771" spans="1:12" x14ac:dyDescent="0.5">
      <c r="A771" t="s">
        <v>1072</v>
      </c>
      <c r="B771">
        <f>_xlfn.XLOOKUP(A771, 'sqft data'!A:A, 'sqft data'!C:C, "Not Found")</f>
        <v>880</v>
      </c>
      <c r="C771">
        <f>_xlfn.XLOOKUP(A771, 'bedroom data'!A:A, 'bedroom data'!B:B, "Not Found")</f>
        <v>1</v>
      </c>
      <c r="D771">
        <f>_xlfn.XLOOKUP(A771, 'bathroom data'!A:A, 'bathroom data'!B:B, "Not Found")</f>
        <v>1</v>
      </c>
      <c r="E771" t="str">
        <f>_xlfn.XLOOKUP(A771, 'bedroom data'!A:A, 'bedroom data'!C:C, "Not Found")</f>
        <v>Arlington</v>
      </c>
      <c r="F771" t="s">
        <v>1073</v>
      </c>
      <c r="G771" t="s">
        <v>1074</v>
      </c>
      <c r="H771" t="s">
        <v>29</v>
      </c>
      <c r="I771">
        <v>120</v>
      </c>
      <c r="J771" t="s">
        <v>898</v>
      </c>
      <c r="K771" t="s">
        <v>36</v>
      </c>
      <c r="L771" t="s">
        <v>36</v>
      </c>
    </row>
    <row r="772" spans="1:12" x14ac:dyDescent="0.5">
      <c r="A772" t="s">
        <v>1072</v>
      </c>
      <c r="B772">
        <f>_xlfn.XLOOKUP(A772, 'sqft data'!A:A, 'sqft data'!C:C, "Not Found")</f>
        <v>880</v>
      </c>
      <c r="C772">
        <f>_xlfn.XLOOKUP(A772, 'bedroom data'!A:A, 'bedroom data'!B:B, "Not Found")</f>
        <v>1</v>
      </c>
      <c r="D772">
        <f>_xlfn.XLOOKUP(A772, 'bathroom data'!A:A, 'bathroom data'!B:B, "Not Found")</f>
        <v>1</v>
      </c>
      <c r="E772" t="str">
        <f>_xlfn.XLOOKUP(A772, 'bedroom data'!A:A, 'bedroom data'!C:C, "Not Found")</f>
        <v>Arlington</v>
      </c>
      <c r="F772" t="s">
        <v>1073</v>
      </c>
      <c r="G772" t="s">
        <v>182</v>
      </c>
      <c r="H772" t="s">
        <v>182</v>
      </c>
      <c r="I772">
        <v>115.38</v>
      </c>
      <c r="J772" t="s">
        <v>752</v>
      </c>
      <c r="K772" t="s">
        <v>36</v>
      </c>
      <c r="L772" t="s">
        <v>36</v>
      </c>
    </row>
    <row r="773" spans="1:12" x14ac:dyDescent="0.5">
      <c r="A773" t="s">
        <v>1072</v>
      </c>
      <c r="B773">
        <f>_xlfn.XLOOKUP(A773, 'sqft data'!A:A, 'sqft data'!C:C, "Not Found")</f>
        <v>880</v>
      </c>
      <c r="C773">
        <f>_xlfn.XLOOKUP(A773, 'bedroom data'!A:A, 'bedroom data'!B:B, "Not Found")</f>
        <v>1</v>
      </c>
      <c r="D773">
        <f>_xlfn.XLOOKUP(A773, 'bathroom data'!A:A, 'bathroom data'!B:B, "Not Found")</f>
        <v>1</v>
      </c>
      <c r="E773" t="str">
        <f>_xlfn.XLOOKUP(A773, 'bedroom data'!A:A, 'bedroom data'!C:C, "Not Found")</f>
        <v>Arlington</v>
      </c>
      <c r="F773" t="s">
        <v>1073</v>
      </c>
      <c r="G773" t="s">
        <v>182</v>
      </c>
      <c r="H773" t="s">
        <v>1075</v>
      </c>
      <c r="I773">
        <v>107.81</v>
      </c>
      <c r="J773" t="s">
        <v>269</v>
      </c>
      <c r="K773" t="s">
        <v>36</v>
      </c>
      <c r="L773" t="s">
        <v>36</v>
      </c>
    </row>
    <row r="774" spans="1:12" x14ac:dyDescent="0.5">
      <c r="A774" t="s">
        <v>1076</v>
      </c>
      <c r="B774">
        <f>_xlfn.XLOOKUP(A774, 'sqft data'!A:A, 'sqft data'!C:C, "Not Found")</f>
        <v>400</v>
      </c>
      <c r="C774" t="str">
        <f>_xlfn.XLOOKUP(A774, 'bedroom data'!A:A, 'bedroom data'!B:B, "Not Found")</f>
        <v>Studio</v>
      </c>
      <c r="D774">
        <f>_xlfn.XLOOKUP(A774, 'bathroom data'!A:A, 'bathroom data'!B:B, "Not Found")</f>
        <v>1</v>
      </c>
      <c r="E774" t="str">
        <f>_xlfn.XLOOKUP(A774, 'bedroom data'!A:A, 'bedroom data'!C:C, "Not Found")</f>
        <v>Capitol Hill</v>
      </c>
      <c r="F774" t="s">
        <v>720</v>
      </c>
      <c r="G774" t="s">
        <v>827</v>
      </c>
      <c r="H774" t="s">
        <v>225</v>
      </c>
      <c r="I774">
        <v>114</v>
      </c>
      <c r="J774" t="s">
        <v>360</v>
      </c>
      <c r="K774" t="s">
        <v>13</v>
      </c>
      <c r="L774" t="s">
        <v>13</v>
      </c>
    </row>
    <row r="775" spans="1:12" x14ac:dyDescent="0.5">
      <c r="A775" t="s">
        <v>1076</v>
      </c>
      <c r="B775">
        <f>_xlfn.XLOOKUP(A775, 'sqft data'!A:A, 'sqft data'!C:C, "Not Found")</f>
        <v>400</v>
      </c>
      <c r="C775" t="str">
        <f>_xlfn.XLOOKUP(A775, 'bedroom data'!A:A, 'bedroom data'!B:B, "Not Found")</f>
        <v>Studio</v>
      </c>
      <c r="D775">
        <f>_xlfn.XLOOKUP(A775, 'bathroom data'!A:A, 'bathroom data'!B:B, "Not Found")</f>
        <v>1</v>
      </c>
      <c r="E775" t="str">
        <f>_xlfn.XLOOKUP(A775, 'bedroom data'!A:A, 'bedroom data'!C:C, "Not Found")</f>
        <v>Capitol Hill</v>
      </c>
      <c r="F775" t="s">
        <v>720</v>
      </c>
      <c r="G775" t="s">
        <v>225</v>
      </c>
      <c r="H775" t="s">
        <v>99</v>
      </c>
      <c r="I775">
        <v>119</v>
      </c>
      <c r="J775" t="s">
        <v>245</v>
      </c>
      <c r="K775" t="s">
        <v>13</v>
      </c>
      <c r="L775" t="s">
        <v>13</v>
      </c>
    </row>
    <row r="776" spans="1:12" x14ac:dyDescent="0.5">
      <c r="A776" t="s">
        <v>1076</v>
      </c>
      <c r="B776">
        <f>_xlfn.XLOOKUP(A776, 'sqft data'!A:A, 'sqft data'!C:C, "Not Found")</f>
        <v>400</v>
      </c>
      <c r="C776" t="str">
        <f>_xlfn.XLOOKUP(A776, 'bedroom data'!A:A, 'bedroom data'!B:B, "Not Found")</f>
        <v>Studio</v>
      </c>
      <c r="D776">
        <f>_xlfn.XLOOKUP(A776, 'bathroom data'!A:A, 'bathroom data'!B:B, "Not Found")</f>
        <v>1</v>
      </c>
      <c r="E776" t="str">
        <f>_xlfn.XLOOKUP(A776, 'bedroom data'!A:A, 'bedroom data'!C:C, "Not Found")</f>
        <v>Capitol Hill</v>
      </c>
      <c r="F776" t="s">
        <v>720</v>
      </c>
      <c r="G776" t="s">
        <v>402</v>
      </c>
      <c r="H776" t="s">
        <v>722</v>
      </c>
      <c r="I776">
        <v>95</v>
      </c>
      <c r="J776" t="s">
        <v>407</v>
      </c>
      <c r="K776" t="s">
        <v>13</v>
      </c>
      <c r="L776" t="s">
        <v>13</v>
      </c>
    </row>
    <row r="777" spans="1:12" x14ac:dyDescent="0.5">
      <c r="A777" t="s">
        <v>1076</v>
      </c>
      <c r="B777">
        <f>_xlfn.XLOOKUP(A777, 'sqft data'!A:A, 'sqft data'!C:C, "Not Found")</f>
        <v>400</v>
      </c>
      <c r="C777" t="str">
        <f>_xlfn.XLOOKUP(A777, 'bedroom data'!A:A, 'bedroom data'!B:B, "Not Found")</f>
        <v>Studio</v>
      </c>
      <c r="D777">
        <f>_xlfn.XLOOKUP(A777, 'bathroom data'!A:A, 'bathroom data'!B:B, "Not Found")</f>
        <v>1</v>
      </c>
      <c r="E777" t="str">
        <f>_xlfn.XLOOKUP(A777, 'bedroom data'!A:A, 'bedroom data'!C:C, "Not Found")</f>
        <v>Capitol Hill</v>
      </c>
      <c r="F777" t="s">
        <v>720</v>
      </c>
      <c r="G777" t="s">
        <v>104</v>
      </c>
      <c r="H777" t="s">
        <v>104</v>
      </c>
      <c r="I777">
        <v>96</v>
      </c>
      <c r="J777" t="s">
        <v>762</v>
      </c>
      <c r="K777" t="s">
        <v>13</v>
      </c>
      <c r="L777" t="s">
        <v>13</v>
      </c>
    </row>
    <row r="778" spans="1:12" x14ac:dyDescent="0.5">
      <c r="A778" t="s">
        <v>1076</v>
      </c>
      <c r="B778">
        <f>_xlfn.XLOOKUP(A778, 'sqft data'!A:A, 'sqft data'!C:C, "Not Found")</f>
        <v>400</v>
      </c>
      <c r="C778" t="str">
        <f>_xlfn.XLOOKUP(A778, 'bedroom data'!A:A, 'bedroom data'!B:B, "Not Found")</f>
        <v>Studio</v>
      </c>
      <c r="D778">
        <f>_xlfn.XLOOKUP(A778, 'bathroom data'!A:A, 'bathroom data'!B:B, "Not Found")</f>
        <v>1</v>
      </c>
      <c r="E778" t="str">
        <f>_xlfn.XLOOKUP(A778, 'bedroom data'!A:A, 'bedroom data'!C:C, "Not Found")</f>
        <v>Capitol Hill</v>
      </c>
      <c r="F778" t="s">
        <v>720</v>
      </c>
      <c r="G778" t="s">
        <v>902</v>
      </c>
      <c r="H778" t="s">
        <v>93</v>
      </c>
      <c r="I778">
        <v>91</v>
      </c>
      <c r="J778" t="s">
        <v>471</v>
      </c>
      <c r="K778" t="s">
        <v>13</v>
      </c>
      <c r="L778" t="s">
        <v>13</v>
      </c>
    </row>
    <row r="779" spans="1:12" x14ac:dyDescent="0.5">
      <c r="A779" t="s">
        <v>1077</v>
      </c>
      <c r="B779">
        <f>_xlfn.XLOOKUP(A779, 'sqft data'!A:A, 'sqft data'!C:C, "Not Found")</f>
        <v>1420</v>
      </c>
      <c r="C779">
        <f>_xlfn.XLOOKUP(A779, 'bedroom data'!A:A, 'bedroom data'!B:B, "Not Found")</f>
        <v>3</v>
      </c>
      <c r="D779">
        <f>_xlfn.XLOOKUP(A779, 'bathroom data'!A:A, 'bathroom data'!B:B, "Not Found")</f>
        <v>2</v>
      </c>
      <c r="E779" t="str">
        <f>_xlfn.XLOOKUP(A779, 'bedroom data'!A:A, 'bedroom data'!C:C, "Not Found")</f>
        <v>Georgetown</v>
      </c>
      <c r="F779" t="s">
        <v>1078</v>
      </c>
      <c r="G779" t="s">
        <v>288</v>
      </c>
      <c r="H779" t="s">
        <v>785</v>
      </c>
      <c r="I779">
        <v>0</v>
      </c>
      <c r="J779" t="s">
        <v>293</v>
      </c>
      <c r="K779" t="s">
        <v>13</v>
      </c>
      <c r="L779" t="s">
        <v>13</v>
      </c>
    </row>
    <row r="780" spans="1:12" x14ac:dyDescent="0.5">
      <c r="A780" t="s">
        <v>1077</v>
      </c>
      <c r="B780">
        <f>_xlfn.XLOOKUP(A780, 'sqft data'!A:A, 'sqft data'!C:C, "Not Found")</f>
        <v>1420</v>
      </c>
      <c r="C780">
        <f>_xlfn.XLOOKUP(A780, 'bedroom data'!A:A, 'bedroom data'!B:B, "Not Found")</f>
        <v>3</v>
      </c>
      <c r="D780">
        <f>_xlfn.XLOOKUP(A780, 'bathroom data'!A:A, 'bathroom data'!B:B, "Not Found")</f>
        <v>2</v>
      </c>
      <c r="E780" t="str">
        <f>_xlfn.XLOOKUP(A780, 'bedroom data'!A:A, 'bedroom data'!C:C, "Not Found")</f>
        <v>Georgetown</v>
      </c>
      <c r="F780" t="s">
        <v>1078</v>
      </c>
      <c r="G780" t="s">
        <v>288</v>
      </c>
      <c r="H780" t="s">
        <v>785</v>
      </c>
      <c r="I780">
        <v>0</v>
      </c>
      <c r="J780" t="s">
        <v>288</v>
      </c>
      <c r="K780" t="s">
        <v>13</v>
      </c>
      <c r="L780" t="s">
        <v>13</v>
      </c>
    </row>
    <row r="781" spans="1:12" x14ac:dyDescent="0.5">
      <c r="A781" t="s">
        <v>1077</v>
      </c>
      <c r="B781">
        <f>_xlfn.XLOOKUP(A781, 'sqft data'!A:A, 'sqft data'!C:C, "Not Found")</f>
        <v>1420</v>
      </c>
      <c r="C781">
        <f>_xlfn.XLOOKUP(A781, 'bedroom data'!A:A, 'bedroom data'!B:B, "Not Found")</f>
        <v>3</v>
      </c>
      <c r="D781">
        <f>_xlfn.XLOOKUP(A781, 'bathroom data'!A:A, 'bathroom data'!B:B, "Not Found")</f>
        <v>2</v>
      </c>
      <c r="E781" t="str">
        <f>_xlfn.XLOOKUP(A781, 'bedroom data'!A:A, 'bedroom data'!C:C, "Not Found")</f>
        <v>Georgetown</v>
      </c>
      <c r="F781" t="s">
        <v>1078</v>
      </c>
      <c r="G781" t="s">
        <v>323</v>
      </c>
      <c r="H781" t="s">
        <v>1079</v>
      </c>
      <c r="I781">
        <v>225</v>
      </c>
      <c r="J781" t="s">
        <v>289</v>
      </c>
      <c r="K781" t="s">
        <v>13</v>
      </c>
      <c r="L781" t="s">
        <v>13</v>
      </c>
    </row>
    <row r="782" spans="1:12" x14ac:dyDescent="0.5">
      <c r="A782" t="s">
        <v>1080</v>
      </c>
      <c r="B782" t="str">
        <f>_xlfn.XLOOKUP(A782, 'sqft data'!A:A, 'sqft data'!C:C, "Not Found")</f>
        <v>Not Found</v>
      </c>
      <c r="C782">
        <f>_xlfn.XLOOKUP(A782, 'bedroom data'!A:A, 'bedroom data'!B:B, "Not Found")</f>
        <v>1</v>
      </c>
      <c r="D782">
        <f>_xlfn.XLOOKUP(A782, 'bathroom data'!A:A, 'bathroom data'!B:B, "Not Found")</f>
        <v>1</v>
      </c>
      <c r="E782" t="str">
        <f>_xlfn.XLOOKUP(A782, 'bedroom data'!A:A, 'bedroom data'!C:C, "Not Found")</f>
        <v>Arlington</v>
      </c>
      <c r="F782" t="s">
        <v>1081</v>
      </c>
      <c r="G782" t="s">
        <v>1082</v>
      </c>
      <c r="H782" t="s">
        <v>1083</v>
      </c>
      <c r="I782">
        <v>86.66</v>
      </c>
      <c r="J782" t="s">
        <v>1084</v>
      </c>
      <c r="K782" t="s">
        <v>36</v>
      </c>
      <c r="L782" t="s">
        <v>13</v>
      </c>
    </row>
    <row r="783" spans="1:12" x14ac:dyDescent="0.5">
      <c r="A783" t="s">
        <v>1085</v>
      </c>
      <c r="B783" t="str">
        <f>_xlfn.XLOOKUP(A783, 'sqft data'!A:A, 'sqft data'!C:C, "Not Found")</f>
        <v>Not Found</v>
      </c>
      <c r="C783">
        <f>_xlfn.XLOOKUP(A783, 'bedroom data'!A:A, 'bedroom data'!B:B, "Not Found")</f>
        <v>3</v>
      </c>
      <c r="D783">
        <f>_xlfn.XLOOKUP(A783, 'bathroom data'!A:A, 'bathroom data'!B:B, "Not Found")</f>
        <v>2.5</v>
      </c>
      <c r="E783" t="str">
        <f>_xlfn.XLOOKUP(A783, 'bedroom data'!A:A, 'bedroom data'!C:C, "Not Found")</f>
        <v>Capitol Hill</v>
      </c>
      <c r="F783" t="s">
        <v>331</v>
      </c>
      <c r="G783" t="s">
        <v>353</v>
      </c>
      <c r="H783" t="s">
        <v>75</v>
      </c>
      <c r="I783">
        <v>150</v>
      </c>
      <c r="J783" t="s">
        <v>1086</v>
      </c>
      <c r="K783" t="s">
        <v>36</v>
      </c>
      <c r="L783" t="s">
        <v>13</v>
      </c>
    </row>
    <row r="784" spans="1:12" x14ac:dyDescent="0.5">
      <c r="A784" t="s">
        <v>1087</v>
      </c>
      <c r="B784">
        <f>_xlfn.XLOOKUP(A784, 'sqft data'!A:A, 'sqft data'!C:C, "Not Found")</f>
        <v>860</v>
      </c>
      <c r="C784">
        <f>_xlfn.XLOOKUP(A784, 'bedroom data'!A:A, 'bedroom data'!B:B, "Not Found")</f>
        <v>2</v>
      </c>
      <c r="D784">
        <f>_xlfn.XLOOKUP(A784, 'bathroom data'!A:A, 'bathroom data'!B:B, "Not Found")</f>
        <v>1</v>
      </c>
      <c r="E784" t="str">
        <f>_xlfn.XLOOKUP(A784, 'bedroom data'!A:A, 'bedroom data'!C:C, "Not Found")</f>
        <v>Georgetown</v>
      </c>
      <c r="F784" t="s">
        <v>754</v>
      </c>
      <c r="G784" t="s">
        <v>250</v>
      </c>
      <c r="H784" t="s">
        <v>171</v>
      </c>
      <c r="I784">
        <v>0</v>
      </c>
      <c r="J784" t="s">
        <v>250</v>
      </c>
      <c r="K784" t="s">
        <v>13</v>
      </c>
      <c r="L784" t="s">
        <v>13</v>
      </c>
    </row>
    <row r="785" spans="1:12" x14ac:dyDescent="0.5">
      <c r="A785" t="s">
        <v>1087</v>
      </c>
      <c r="B785">
        <f>_xlfn.XLOOKUP(A785, 'sqft data'!A:A, 'sqft data'!C:C, "Not Found")</f>
        <v>860</v>
      </c>
      <c r="C785">
        <f>_xlfn.XLOOKUP(A785, 'bedroom data'!A:A, 'bedroom data'!B:B, "Not Found")</f>
        <v>2</v>
      </c>
      <c r="D785">
        <f>_xlfn.XLOOKUP(A785, 'bathroom data'!A:A, 'bathroom data'!B:B, "Not Found")</f>
        <v>1</v>
      </c>
      <c r="E785" t="str">
        <f>_xlfn.XLOOKUP(A785, 'bedroom data'!A:A, 'bedroom data'!C:C, "Not Found")</f>
        <v>Georgetown</v>
      </c>
      <c r="F785" t="s">
        <v>754</v>
      </c>
      <c r="G785" t="s">
        <v>1039</v>
      </c>
      <c r="H785" t="s">
        <v>634</v>
      </c>
      <c r="I785">
        <v>209</v>
      </c>
      <c r="J785" t="s">
        <v>152</v>
      </c>
      <c r="K785" t="s">
        <v>36</v>
      </c>
      <c r="L785" t="s">
        <v>13</v>
      </c>
    </row>
    <row r="786" spans="1:12" x14ac:dyDescent="0.5">
      <c r="A786" t="s">
        <v>1087</v>
      </c>
      <c r="B786">
        <f>_xlfn.XLOOKUP(A786, 'sqft data'!A:A, 'sqft data'!C:C, "Not Found")</f>
        <v>860</v>
      </c>
      <c r="C786">
        <f>_xlfn.XLOOKUP(A786, 'bedroom data'!A:A, 'bedroom data'!B:B, "Not Found")</f>
        <v>2</v>
      </c>
      <c r="D786">
        <f>_xlfn.XLOOKUP(A786, 'bathroom data'!A:A, 'bathroom data'!B:B, "Not Found")</f>
        <v>1</v>
      </c>
      <c r="E786" t="str">
        <f>_xlfn.XLOOKUP(A786, 'bedroom data'!A:A, 'bedroom data'!C:C, "Not Found")</f>
        <v>Georgetown</v>
      </c>
      <c r="F786" t="s">
        <v>754</v>
      </c>
      <c r="G786" t="s">
        <v>467</v>
      </c>
      <c r="H786" t="s">
        <v>368</v>
      </c>
      <c r="I786">
        <v>233.33</v>
      </c>
      <c r="J786" t="s">
        <v>198</v>
      </c>
      <c r="K786" t="s">
        <v>36</v>
      </c>
      <c r="L786" t="s">
        <v>13</v>
      </c>
    </row>
    <row r="787" spans="1:12" x14ac:dyDescent="0.5">
      <c r="A787" t="s">
        <v>1088</v>
      </c>
      <c r="B787">
        <f>_xlfn.XLOOKUP(A787, 'sqft data'!A:A, 'sqft data'!C:C, "Not Found")</f>
        <v>850</v>
      </c>
      <c r="C787">
        <f>_xlfn.XLOOKUP(A787, 'bedroom data'!A:A, 'bedroom data'!B:B, "Not Found")</f>
        <v>1</v>
      </c>
      <c r="D787">
        <f>_xlfn.XLOOKUP(A787, 'bathroom data'!A:A, 'bathroom data'!B:B, "Not Found")</f>
        <v>1</v>
      </c>
      <c r="E787" t="str">
        <f>_xlfn.XLOOKUP(A787, 'bedroom data'!A:A, 'bedroom data'!C:C, "Not Found")</f>
        <v>Arlington</v>
      </c>
      <c r="F787" t="s">
        <v>212</v>
      </c>
      <c r="G787" t="s">
        <v>1089</v>
      </c>
      <c r="H787" t="s">
        <v>99</v>
      </c>
      <c r="I787">
        <v>100</v>
      </c>
      <c r="J787" t="s">
        <v>1090</v>
      </c>
      <c r="K787" t="s">
        <v>13</v>
      </c>
      <c r="L787" t="s">
        <v>13</v>
      </c>
    </row>
    <row r="788" spans="1:12" x14ac:dyDescent="0.5">
      <c r="A788" t="s">
        <v>1088</v>
      </c>
      <c r="B788">
        <f>_xlfn.XLOOKUP(A788, 'sqft data'!A:A, 'sqft data'!C:C, "Not Found")</f>
        <v>850</v>
      </c>
      <c r="C788">
        <f>_xlfn.XLOOKUP(A788, 'bedroom data'!A:A, 'bedroom data'!B:B, "Not Found")</f>
        <v>1</v>
      </c>
      <c r="D788">
        <f>_xlfn.XLOOKUP(A788, 'bathroom data'!A:A, 'bathroom data'!B:B, "Not Found")</f>
        <v>1</v>
      </c>
      <c r="E788" t="str">
        <f>_xlfn.XLOOKUP(A788, 'bedroom data'!A:A, 'bedroom data'!C:C, "Not Found")</f>
        <v>Arlington</v>
      </c>
      <c r="F788" t="s">
        <v>212</v>
      </c>
      <c r="G788" t="s">
        <v>208</v>
      </c>
      <c r="H788" t="s">
        <v>259</v>
      </c>
      <c r="I788">
        <v>100</v>
      </c>
      <c r="J788" t="s">
        <v>303</v>
      </c>
      <c r="K788" t="s">
        <v>36</v>
      </c>
      <c r="L788" t="s">
        <v>13</v>
      </c>
    </row>
    <row r="789" spans="1:12" x14ac:dyDescent="0.5">
      <c r="A789" t="s">
        <v>1088</v>
      </c>
      <c r="B789">
        <f>_xlfn.XLOOKUP(A789, 'sqft data'!A:A, 'sqft data'!C:C, "Not Found")</f>
        <v>850</v>
      </c>
      <c r="C789">
        <f>_xlfn.XLOOKUP(A789, 'bedroom data'!A:A, 'bedroom data'!B:B, "Not Found")</f>
        <v>1</v>
      </c>
      <c r="D789">
        <f>_xlfn.XLOOKUP(A789, 'bathroom data'!A:A, 'bathroom data'!B:B, "Not Found")</f>
        <v>1</v>
      </c>
      <c r="E789" t="str">
        <f>_xlfn.XLOOKUP(A789, 'bedroom data'!A:A, 'bedroom data'!C:C, "Not Found")</f>
        <v>Arlington</v>
      </c>
      <c r="F789" t="s">
        <v>212</v>
      </c>
      <c r="G789" t="s">
        <v>447</v>
      </c>
      <c r="H789" t="s">
        <v>1046</v>
      </c>
      <c r="I789">
        <v>79</v>
      </c>
      <c r="J789" t="s">
        <v>632</v>
      </c>
      <c r="K789" t="s">
        <v>36</v>
      </c>
      <c r="L789" t="s">
        <v>13</v>
      </c>
    </row>
    <row r="790" spans="1:12" x14ac:dyDescent="0.5">
      <c r="A790" t="s">
        <v>1091</v>
      </c>
      <c r="B790">
        <f>_xlfn.XLOOKUP(A790, 'sqft data'!A:A, 'sqft data'!C:C, "Not Found")</f>
        <v>2500</v>
      </c>
      <c r="C790">
        <f>_xlfn.XLOOKUP(A790, 'bedroom data'!A:A, 'bedroom data'!B:B, "Not Found")</f>
        <v>2</v>
      </c>
      <c r="D790">
        <f>_xlfn.XLOOKUP(A790, 'bathroom data'!A:A, 'bathroom data'!B:B, "Not Found")</f>
        <v>3</v>
      </c>
      <c r="E790" t="str">
        <f>_xlfn.XLOOKUP(A790, 'bedroom data'!A:A, 'bedroom data'!C:C, "Not Found")</f>
        <v>Dupont /WestEnd</v>
      </c>
      <c r="F790" t="s">
        <v>1092</v>
      </c>
      <c r="G790" t="s">
        <v>379</v>
      </c>
      <c r="H790" t="s">
        <v>99</v>
      </c>
      <c r="I790">
        <v>220</v>
      </c>
      <c r="J790" t="s">
        <v>26</v>
      </c>
      <c r="K790" t="s">
        <v>36</v>
      </c>
      <c r="L790" t="s">
        <v>13</v>
      </c>
    </row>
    <row r="791" spans="1:12" x14ac:dyDescent="0.5">
      <c r="A791" t="s">
        <v>1091</v>
      </c>
      <c r="B791">
        <f>_xlfn.XLOOKUP(A791, 'sqft data'!A:A, 'sqft data'!C:C, "Not Found")</f>
        <v>2500</v>
      </c>
      <c r="C791">
        <f>_xlfn.XLOOKUP(A791, 'bedroom data'!A:A, 'bedroom data'!B:B, "Not Found")</f>
        <v>2</v>
      </c>
      <c r="D791">
        <f>_xlfn.XLOOKUP(A791, 'bathroom data'!A:A, 'bathroom data'!B:B, "Not Found")</f>
        <v>3</v>
      </c>
      <c r="E791" t="str">
        <f>_xlfn.XLOOKUP(A791, 'bedroom data'!A:A, 'bedroom data'!C:C, "Not Found")</f>
        <v>Dupont /WestEnd</v>
      </c>
      <c r="F791" t="s">
        <v>1092</v>
      </c>
      <c r="G791" t="s">
        <v>288</v>
      </c>
      <c r="H791" t="s">
        <v>1093</v>
      </c>
      <c r="I791">
        <v>190</v>
      </c>
      <c r="J791" t="s">
        <v>103</v>
      </c>
      <c r="K791" t="s">
        <v>13</v>
      </c>
      <c r="L791" t="s">
        <v>13</v>
      </c>
    </row>
    <row r="792" spans="1:12" x14ac:dyDescent="0.5">
      <c r="A792" t="s">
        <v>1091</v>
      </c>
      <c r="B792">
        <f>_xlfn.XLOOKUP(A792, 'sqft data'!A:A, 'sqft data'!C:C, "Not Found")</f>
        <v>2500</v>
      </c>
      <c r="C792">
        <f>_xlfn.XLOOKUP(A792, 'bedroom data'!A:A, 'bedroom data'!B:B, "Not Found")</f>
        <v>2</v>
      </c>
      <c r="D792">
        <f>_xlfn.XLOOKUP(A792, 'bathroom data'!A:A, 'bathroom data'!B:B, "Not Found")</f>
        <v>3</v>
      </c>
      <c r="E792" t="str">
        <f>_xlfn.XLOOKUP(A792, 'bedroom data'!A:A, 'bedroom data'!C:C, "Not Found")</f>
        <v>Dupont /WestEnd</v>
      </c>
      <c r="F792" t="s">
        <v>1092</v>
      </c>
      <c r="G792" t="s">
        <v>466</v>
      </c>
      <c r="H792" t="s">
        <v>980</v>
      </c>
      <c r="I792">
        <v>197</v>
      </c>
      <c r="J792" t="s">
        <v>467</v>
      </c>
      <c r="K792" t="s">
        <v>36</v>
      </c>
      <c r="L792" t="s">
        <v>13</v>
      </c>
    </row>
    <row r="793" spans="1:12" x14ac:dyDescent="0.5">
      <c r="A793" t="s">
        <v>1094</v>
      </c>
      <c r="B793">
        <f>_xlfn.XLOOKUP(A793, 'sqft data'!A:A, 'sqft data'!C:C, "Not Found")</f>
        <v>750</v>
      </c>
      <c r="C793">
        <f>_xlfn.XLOOKUP(A793, 'bedroom data'!A:A, 'bedroom data'!B:B, "Not Found")</f>
        <v>1</v>
      </c>
      <c r="D793">
        <f>_xlfn.XLOOKUP(A793, 'bathroom data'!A:A, 'bathroom data'!B:B, "Not Found")</f>
        <v>1</v>
      </c>
      <c r="E793" t="str">
        <f>_xlfn.XLOOKUP(A793, 'bedroom data'!A:A, 'bedroom data'!C:C, "Not Found")</f>
        <v>Dupont /WestEnd</v>
      </c>
      <c r="F793" t="s">
        <v>1092</v>
      </c>
      <c r="G793" t="s">
        <v>1095</v>
      </c>
      <c r="H793" t="s">
        <v>160</v>
      </c>
      <c r="I793">
        <v>85</v>
      </c>
      <c r="J793" t="s">
        <v>1096</v>
      </c>
      <c r="K793" t="s">
        <v>13</v>
      </c>
      <c r="L793" t="s">
        <v>13</v>
      </c>
    </row>
    <row r="794" spans="1:12" x14ac:dyDescent="0.5">
      <c r="A794" t="s">
        <v>1094</v>
      </c>
      <c r="B794">
        <f>_xlfn.XLOOKUP(A794, 'sqft data'!A:A, 'sqft data'!C:C, "Not Found")</f>
        <v>750</v>
      </c>
      <c r="C794">
        <f>_xlfn.XLOOKUP(A794, 'bedroom data'!A:A, 'bedroom data'!B:B, "Not Found")</f>
        <v>1</v>
      </c>
      <c r="D794">
        <f>_xlfn.XLOOKUP(A794, 'bathroom data'!A:A, 'bathroom data'!B:B, "Not Found")</f>
        <v>1</v>
      </c>
      <c r="E794" t="str">
        <f>_xlfn.XLOOKUP(A794, 'bedroom data'!A:A, 'bedroom data'!C:C, "Not Found")</f>
        <v>Dupont /WestEnd</v>
      </c>
      <c r="F794" t="s">
        <v>1092</v>
      </c>
      <c r="G794" t="s">
        <v>962</v>
      </c>
      <c r="H794" t="s">
        <v>448</v>
      </c>
      <c r="I794">
        <v>97</v>
      </c>
      <c r="J794" t="s">
        <v>493</v>
      </c>
      <c r="K794" t="s">
        <v>13</v>
      </c>
      <c r="L794" t="s">
        <v>13</v>
      </c>
    </row>
    <row r="795" spans="1:12" x14ac:dyDescent="0.5">
      <c r="A795" t="s">
        <v>1094</v>
      </c>
      <c r="B795">
        <f>_xlfn.XLOOKUP(A795, 'sqft data'!A:A, 'sqft data'!C:C, "Not Found")</f>
        <v>750</v>
      </c>
      <c r="C795">
        <f>_xlfn.XLOOKUP(A795, 'bedroom data'!A:A, 'bedroom data'!B:B, "Not Found")</f>
        <v>1</v>
      </c>
      <c r="D795">
        <f>_xlfn.XLOOKUP(A795, 'bathroom data'!A:A, 'bathroom data'!B:B, "Not Found")</f>
        <v>1</v>
      </c>
      <c r="E795" t="str">
        <f>_xlfn.XLOOKUP(A795, 'bedroom data'!A:A, 'bedroom data'!C:C, "Not Found")</f>
        <v>Dupont /WestEnd</v>
      </c>
      <c r="F795" t="s">
        <v>1092</v>
      </c>
      <c r="G795" t="s">
        <v>676</v>
      </c>
      <c r="H795" t="s">
        <v>272</v>
      </c>
      <c r="I795">
        <v>95.71</v>
      </c>
      <c r="J795" t="s">
        <v>269</v>
      </c>
      <c r="K795" t="s">
        <v>13</v>
      </c>
      <c r="L795" t="s">
        <v>13</v>
      </c>
    </row>
    <row r="796" spans="1:12" x14ac:dyDescent="0.5">
      <c r="A796" t="s">
        <v>1094</v>
      </c>
      <c r="B796">
        <f>_xlfn.XLOOKUP(A796, 'sqft data'!A:A, 'sqft data'!C:C, "Not Found")</f>
        <v>750</v>
      </c>
      <c r="C796">
        <f>_xlfn.XLOOKUP(A796, 'bedroom data'!A:A, 'bedroom data'!B:B, "Not Found")</f>
        <v>1</v>
      </c>
      <c r="D796">
        <f>_xlfn.XLOOKUP(A796, 'bathroom data'!A:A, 'bathroom data'!B:B, "Not Found")</f>
        <v>1</v>
      </c>
      <c r="E796" t="str">
        <f>_xlfn.XLOOKUP(A796, 'bedroom data'!A:A, 'bedroom data'!C:C, "Not Found")</f>
        <v>Dupont /WestEnd</v>
      </c>
      <c r="F796" t="s">
        <v>1092</v>
      </c>
      <c r="G796" t="s">
        <v>107</v>
      </c>
      <c r="H796" t="s">
        <v>651</v>
      </c>
      <c r="I796">
        <v>114</v>
      </c>
      <c r="J796" t="s">
        <v>121</v>
      </c>
      <c r="K796" t="s">
        <v>13</v>
      </c>
      <c r="L796" t="s">
        <v>13</v>
      </c>
    </row>
    <row r="797" spans="1:12" x14ac:dyDescent="0.5">
      <c r="A797" t="s">
        <v>1094</v>
      </c>
      <c r="B797">
        <f>_xlfn.XLOOKUP(A797, 'sqft data'!A:A, 'sqft data'!C:C, "Not Found")</f>
        <v>750</v>
      </c>
      <c r="C797">
        <f>_xlfn.XLOOKUP(A797, 'bedroom data'!A:A, 'bedroom data'!B:B, "Not Found")</f>
        <v>1</v>
      </c>
      <c r="D797">
        <f>_xlfn.XLOOKUP(A797, 'bathroom data'!A:A, 'bathroom data'!B:B, "Not Found")</f>
        <v>1</v>
      </c>
      <c r="E797" t="str">
        <f>_xlfn.XLOOKUP(A797, 'bedroom data'!A:A, 'bedroom data'!C:C, "Not Found")</f>
        <v>Dupont /WestEnd</v>
      </c>
      <c r="F797" t="s">
        <v>1092</v>
      </c>
      <c r="G797" t="s">
        <v>1097</v>
      </c>
      <c r="H797" t="s">
        <v>1098</v>
      </c>
      <c r="I797">
        <v>103</v>
      </c>
      <c r="J797" t="s">
        <v>585</v>
      </c>
      <c r="K797" t="s">
        <v>13</v>
      </c>
      <c r="L797" t="s">
        <v>13</v>
      </c>
    </row>
    <row r="798" spans="1:12" x14ac:dyDescent="0.5">
      <c r="A798" t="s">
        <v>1099</v>
      </c>
      <c r="B798">
        <f>_xlfn.XLOOKUP(A798, 'sqft data'!A:A, 'sqft data'!C:C, "Not Found")</f>
        <v>750</v>
      </c>
      <c r="C798">
        <f>_xlfn.XLOOKUP(A798, 'bedroom data'!A:A, 'bedroom data'!B:B, "Not Found")</f>
        <v>1</v>
      </c>
      <c r="D798">
        <f>_xlfn.XLOOKUP(A798, 'bathroom data'!A:A, 'bathroom data'!B:B, "Not Found")</f>
        <v>1</v>
      </c>
      <c r="E798" t="str">
        <f>_xlfn.XLOOKUP(A798, 'bedroom data'!A:A, 'bedroom data'!C:C, "Not Found")</f>
        <v>Mt Vernon Sq / Convention Center</v>
      </c>
      <c r="F798" t="s">
        <v>1100</v>
      </c>
      <c r="G798" t="s">
        <v>1101</v>
      </c>
      <c r="H798" t="s">
        <v>1102</v>
      </c>
      <c r="I798">
        <v>112.26</v>
      </c>
      <c r="J798" t="s">
        <v>1101</v>
      </c>
      <c r="K798" t="s">
        <v>13</v>
      </c>
      <c r="L798" t="s">
        <v>13</v>
      </c>
    </row>
    <row r="799" spans="1:12" x14ac:dyDescent="0.5">
      <c r="A799" t="s">
        <v>1103</v>
      </c>
      <c r="B799">
        <f>_xlfn.XLOOKUP(A799, 'sqft data'!A:A, 'sqft data'!C:C, "Not Found")</f>
        <v>700</v>
      </c>
      <c r="C799">
        <f>_xlfn.XLOOKUP(A799, 'bedroom data'!A:A, 'bedroom data'!B:B, "Not Found")</f>
        <v>1</v>
      </c>
      <c r="D799">
        <f>_xlfn.XLOOKUP(A799, 'bathroom data'!A:A, 'bathroom data'!B:B, "Not Found")</f>
        <v>1</v>
      </c>
      <c r="E799" t="str">
        <f>_xlfn.XLOOKUP(A799, 'bedroom data'!A:A, 'bedroom data'!C:C, "Not Found")</f>
        <v>Alexandria</v>
      </c>
      <c r="F799" t="s">
        <v>1104</v>
      </c>
      <c r="G799" t="s">
        <v>812</v>
      </c>
      <c r="H799" t="s">
        <v>1105</v>
      </c>
      <c r="I799">
        <v>85</v>
      </c>
      <c r="J799" t="s">
        <v>79</v>
      </c>
      <c r="K799" t="s">
        <v>36</v>
      </c>
      <c r="L799" t="s">
        <v>36</v>
      </c>
    </row>
    <row r="800" spans="1:12" x14ac:dyDescent="0.5">
      <c r="A800" t="s">
        <v>1103</v>
      </c>
      <c r="B800">
        <f>_xlfn.XLOOKUP(A800, 'sqft data'!A:A, 'sqft data'!C:C, "Not Found")</f>
        <v>700</v>
      </c>
      <c r="C800">
        <f>_xlfn.XLOOKUP(A800, 'bedroom data'!A:A, 'bedroom data'!B:B, "Not Found")</f>
        <v>1</v>
      </c>
      <c r="D800">
        <f>_xlfn.XLOOKUP(A800, 'bathroom data'!A:A, 'bathroom data'!B:B, "Not Found")</f>
        <v>1</v>
      </c>
      <c r="E800" t="str">
        <f>_xlfn.XLOOKUP(A800, 'bedroom data'!A:A, 'bedroom data'!C:C, "Not Found")</f>
        <v>Alexandria</v>
      </c>
      <c r="F800" t="s">
        <v>1104</v>
      </c>
      <c r="G800" t="s">
        <v>868</v>
      </c>
      <c r="H800" t="s">
        <v>148</v>
      </c>
      <c r="I800">
        <v>0</v>
      </c>
      <c r="J800" t="s">
        <v>868</v>
      </c>
      <c r="K800" t="s">
        <v>13</v>
      </c>
      <c r="L800" t="s">
        <v>13</v>
      </c>
    </row>
    <row r="801" spans="1:12" x14ac:dyDescent="0.5">
      <c r="A801" t="s">
        <v>1103</v>
      </c>
      <c r="B801">
        <f>_xlfn.XLOOKUP(A801, 'sqft data'!A:A, 'sqft data'!C:C, "Not Found")</f>
        <v>700</v>
      </c>
      <c r="C801">
        <f>_xlfn.XLOOKUP(A801, 'bedroom data'!A:A, 'bedroom data'!B:B, "Not Found")</f>
        <v>1</v>
      </c>
      <c r="D801">
        <f>_xlfn.XLOOKUP(A801, 'bathroom data'!A:A, 'bathroom data'!B:B, "Not Found")</f>
        <v>1</v>
      </c>
      <c r="E801" t="str">
        <f>_xlfn.XLOOKUP(A801, 'bedroom data'!A:A, 'bedroom data'!C:C, "Not Found")</f>
        <v>Alexandria</v>
      </c>
      <c r="F801" t="s">
        <v>1104</v>
      </c>
      <c r="G801" t="s">
        <v>592</v>
      </c>
      <c r="H801" t="s">
        <v>1106</v>
      </c>
      <c r="I801">
        <v>85</v>
      </c>
      <c r="J801" t="s">
        <v>174</v>
      </c>
      <c r="K801" t="s">
        <v>36</v>
      </c>
      <c r="L801" t="s">
        <v>13</v>
      </c>
    </row>
  </sheetData>
  <pageMargins left="0.7" right="0.7" top="0.75" bottom="0.75" header="0.3" footer="0.3"/>
  <pageSetup orientation="portrait" horizontalDpi="360" verticalDpi="360" r:id="rId1"/>
  <ignoredErrors>
    <ignoredError sqref="A14:A15 A17:A19 A1:A9 F1:L801 A21:A8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ADFE-9072-4224-BC0A-1102348AB010}">
  <dimension ref="A1:D1194"/>
  <sheetViews>
    <sheetView workbookViewId="0">
      <selection activeCell="A92" sqref="A92"/>
    </sheetView>
  </sheetViews>
  <sheetFormatPr defaultRowHeight="15.75" x14ac:dyDescent="0.5"/>
  <cols>
    <col min="1" max="1" width="82.6875" bestFit="1" customWidth="1"/>
  </cols>
  <sheetData>
    <row r="1" spans="1:4" x14ac:dyDescent="0.5">
      <c r="A1" t="s">
        <v>1111</v>
      </c>
      <c r="B1" t="s">
        <v>2078</v>
      </c>
      <c r="C1" t="s">
        <v>2075</v>
      </c>
      <c r="D1" t="s">
        <v>2076</v>
      </c>
    </row>
    <row r="2" spans="1:4" x14ac:dyDescent="0.5">
      <c r="A2" t="s">
        <v>524</v>
      </c>
      <c r="B2">
        <f>SUM(C2 + 1/2*D2)</f>
        <v>3.5</v>
      </c>
      <c r="C2">
        <v>3</v>
      </c>
      <c r="D2">
        <v>1</v>
      </c>
    </row>
    <row r="3" spans="1:4" x14ac:dyDescent="0.5">
      <c r="A3" t="s">
        <v>1115</v>
      </c>
      <c r="B3">
        <f t="shared" ref="B3:B66" si="0">SUM(C3 + 1/2*D3)</f>
        <v>5</v>
      </c>
      <c r="C3">
        <v>5</v>
      </c>
      <c r="D3">
        <v>0</v>
      </c>
    </row>
    <row r="4" spans="1:4" x14ac:dyDescent="0.5">
      <c r="A4" t="s">
        <v>996</v>
      </c>
      <c r="B4">
        <f t="shared" si="0"/>
        <v>3</v>
      </c>
      <c r="C4">
        <v>3</v>
      </c>
      <c r="D4">
        <v>0</v>
      </c>
    </row>
    <row r="5" spans="1:4" x14ac:dyDescent="0.5">
      <c r="A5" t="s">
        <v>1118</v>
      </c>
      <c r="B5">
        <f t="shared" si="0"/>
        <v>6</v>
      </c>
      <c r="C5">
        <v>5</v>
      </c>
      <c r="D5">
        <v>2</v>
      </c>
    </row>
    <row r="6" spans="1:4" x14ac:dyDescent="0.5">
      <c r="A6" t="s">
        <v>520</v>
      </c>
      <c r="B6">
        <f t="shared" si="0"/>
        <v>6</v>
      </c>
      <c r="C6">
        <v>5</v>
      </c>
      <c r="D6">
        <v>2</v>
      </c>
    </row>
    <row r="7" spans="1:4" x14ac:dyDescent="0.5">
      <c r="A7" t="s">
        <v>146</v>
      </c>
      <c r="B7">
        <f t="shared" si="0"/>
        <v>4.5</v>
      </c>
      <c r="C7">
        <v>3</v>
      </c>
      <c r="D7">
        <v>3</v>
      </c>
    </row>
    <row r="8" spans="1:4" x14ac:dyDescent="0.5">
      <c r="A8" t="s">
        <v>923</v>
      </c>
      <c r="B8">
        <f t="shared" si="0"/>
        <v>3</v>
      </c>
      <c r="C8">
        <v>3</v>
      </c>
      <c r="D8">
        <v>0</v>
      </c>
    </row>
    <row r="9" spans="1:4" x14ac:dyDescent="0.5">
      <c r="A9" t="s">
        <v>590</v>
      </c>
      <c r="B9">
        <f t="shared" si="0"/>
        <v>1</v>
      </c>
      <c r="C9">
        <v>1</v>
      </c>
      <c r="D9">
        <v>0</v>
      </c>
    </row>
    <row r="10" spans="1:4" x14ac:dyDescent="0.5">
      <c r="A10" t="s">
        <v>1123</v>
      </c>
      <c r="B10">
        <f t="shared" si="0"/>
        <v>1.5</v>
      </c>
      <c r="C10">
        <v>1</v>
      </c>
      <c r="D10">
        <v>1</v>
      </c>
    </row>
    <row r="11" spans="1:4" x14ac:dyDescent="0.5">
      <c r="A11" t="s">
        <v>578</v>
      </c>
      <c r="B11">
        <f t="shared" si="0"/>
        <v>1</v>
      </c>
      <c r="C11">
        <v>1</v>
      </c>
      <c r="D11">
        <v>0</v>
      </c>
    </row>
    <row r="12" spans="1:4" x14ac:dyDescent="0.5">
      <c r="A12" t="s">
        <v>1124</v>
      </c>
      <c r="B12">
        <f t="shared" si="0"/>
        <v>4</v>
      </c>
      <c r="C12">
        <v>4</v>
      </c>
      <c r="D12">
        <v>0</v>
      </c>
    </row>
    <row r="13" spans="1:4" x14ac:dyDescent="0.5">
      <c r="A13" t="s">
        <v>1057</v>
      </c>
      <c r="B13">
        <f t="shared" si="0"/>
        <v>1.5</v>
      </c>
      <c r="C13">
        <v>1</v>
      </c>
      <c r="D13">
        <v>1</v>
      </c>
    </row>
    <row r="14" spans="1:4" x14ac:dyDescent="0.5">
      <c r="A14" t="s">
        <v>622</v>
      </c>
      <c r="B14">
        <f t="shared" si="0"/>
        <v>3</v>
      </c>
      <c r="C14">
        <v>3</v>
      </c>
      <c r="D14">
        <v>0</v>
      </c>
    </row>
    <row r="15" spans="1:4" x14ac:dyDescent="0.5">
      <c r="A15" t="s">
        <v>815</v>
      </c>
      <c r="B15">
        <f t="shared" si="0"/>
        <v>2</v>
      </c>
      <c r="C15">
        <v>2</v>
      </c>
      <c r="D15">
        <v>0</v>
      </c>
    </row>
    <row r="16" spans="1:4" x14ac:dyDescent="0.5">
      <c r="A16" t="s">
        <v>456</v>
      </c>
      <c r="B16">
        <f t="shared" si="0"/>
        <v>2</v>
      </c>
      <c r="C16">
        <v>2</v>
      </c>
      <c r="D16">
        <v>0</v>
      </c>
    </row>
    <row r="17" spans="1:4" x14ac:dyDescent="0.5">
      <c r="A17" t="s">
        <v>658</v>
      </c>
      <c r="B17">
        <f t="shared" si="0"/>
        <v>2</v>
      </c>
      <c r="C17">
        <v>2</v>
      </c>
      <c r="D17">
        <v>0</v>
      </c>
    </row>
    <row r="18" spans="1:4" x14ac:dyDescent="0.5">
      <c r="A18" t="s">
        <v>126</v>
      </c>
      <c r="B18">
        <f t="shared" si="0"/>
        <v>2</v>
      </c>
      <c r="C18">
        <v>2</v>
      </c>
      <c r="D18">
        <v>0</v>
      </c>
    </row>
    <row r="19" spans="1:4" x14ac:dyDescent="0.5">
      <c r="A19" t="s">
        <v>1129</v>
      </c>
      <c r="B19">
        <f t="shared" si="0"/>
        <v>3</v>
      </c>
      <c r="C19">
        <v>2</v>
      </c>
      <c r="D19">
        <v>2</v>
      </c>
    </row>
    <row r="20" spans="1:4" x14ac:dyDescent="0.5">
      <c r="A20" t="s">
        <v>1130</v>
      </c>
      <c r="B20">
        <f t="shared" si="0"/>
        <v>2</v>
      </c>
      <c r="C20">
        <v>2</v>
      </c>
      <c r="D20">
        <v>0</v>
      </c>
    </row>
    <row r="21" spans="1:4" x14ac:dyDescent="0.5">
      <c r="A21" t="s">
        <v>973</v>
      </c>
      <c r="B21">
        <f t="shared" si="0"/>
        <v>2.5</v>
      </c>
      <c r="C21">
        <v>2</v>
      </c>
      <c r="D21">
        <v>1</v>
      </c>
    </row>
    <row r="22" spans="1:4" x14ac:dyDescent="0.5">
      <c r="A22" t="s">
        <v>1132</v>
      </c>
      <c r="B22">
        <f t="shared" si="0"/>
        <v>4.5</v>
      </c>
      <c r="C22">
        <v>3</v>
      </c>
      <c r="D22">
        <v>3</v>
      </c>
    </row>
    <row r="23" spans="1:4" x14ac:dyDescent="0.5">
      <c r="A23" t="s">
        <v>1133</v>
      </c>
      <c r="B23">
        <f t="shared" si="0"/>
        <v>2.5</v>
      </c>
      <c r="C23">
        <v>2</v>
      </c>
      <c r="D23">
        <v>1</v>
      </c>
    </row>
    <row r="24" spans="1:4" x14ac:dyDescent="0.5">
      <c r="A24" t="s">
        <v>511</v>
      </c>
      <c r="B24">
        <f t="shared" si="0"/>
        <v>1</v>
      </c>
      <c r="C24">
        <v>1</v>
      </c>
      <c r="D24">
        <v>0</v>
      </c>
    </row>
    <row r="25" spans="1:4" x14ac:dyDescent="0.5">
      <c r="A25" t="s">
        <v>1135</v>
      </c>
      <c r="B25">
        <f t="shared" si="0"/>
        <v>5.5</v>
      </c>
      <c r="C25">
        <v>5</v>
      </c>
      <c r="D25">
        <v>1</v>
      </c>
    </row>
    <row r="26" spans="1:4" x14ac:dyDescent="0.5">
      <c r="A26" t="s">
        <v>933</v>
      </c>
      <c r="B26">
        <f t="shared" si="0"/>
        <v>1</v>
      </c>
      <c r="C26">
        <v>1</v>
      </c>
      <c r="D26">
        <v>0</v>
      </c>
    </row>
    <row r="27" spans="1:4" x14ac:dyDescent="0.5">
      <c r="A27" t="s">
        <v>961</v>
      </c>
      <c r="B27">
        <f t="shared" si="0"/>
        <v>1</v>
      </c>
      <c r="C27">
        <v>1</v>
      </c>
      <c r="D27">
        <v>0</v>
      </c>
    </row>
    <row r="28" spans="1:4" x14ac:dyDescent="0.5">
      <c r="A28" t="s">
        <v>963</v>
      </c>
      <c r="B28">
        <f t="shared" si="0"/>
        <v>2.5</v>
      </c>
      <c r="C28">
        <v>2</v>
      </c>
      <c r="D28">
        <v>1</v>
      </c>
    </row>
    <row r="29" spans="1:4" x14ac:dyDescent="0.5">
      <c r="A29" t="s">
        <v>1137</v>
      </c>
      <c r="B29">
        <f t="shared" si="0"/>
        <v>3</v>
      </c>
      <c r="C29">
        <v>3</v>
      </c>
      <c r="D29">
        <v>0</v>
      </c>
    </row>
    <row r="30" spans="1:4" x14ac:dyDescent="0.5">
      <c r="A30" t="s">
        <v>574</v>
      </c>
      <c r="B30">
        <f t="shared" si="0"/>
        <v>1</v>
      </c>
      <c r="C30">
        <v>1</v>
      </c>
      <c r="D30">
        <v>0</v>
      </c>
    </row>
    <row r="31" spans="1:4" x14ac:dyDescent="0.5">
      <c r="A31" t="s">
        <v>865</v>
      </c>
      <c r="B31">
        <f t="shared" si="0"/>
        <v>2.5</v>
      </c>
      <c r="C31">
        <v>2</v>
      </c>
      <c r="D31">
        <v>1</v>
      </c>
    </row>
    <row r="32" spans="1:4" x14ac:dyDescent="0.5">
      <c r="A32" t="s">
        <v>429</v>
      </c>
      <c r="B32">
        <f t="shared" si="0"/>
        <v>3</v>
      </c>
      <c r="C32">
        <v>3</v>
      </c>
      <c r="D32">
        <v>0</v>
      </c>
    </row>
    <row r="33" spans="1:4" x14ac:dyDescent="0.5">
      <c r="A33" t="s">
        <v>1087</v>
      </c>
      <c r="B33">
        <f t="shared" si="0"/>
        <v>1</v>
      </c>
      <c r="C33">
        <v>1</v>
      </c>
      <c r="D33">
        <v>0</v>
      </c>
    </row>
    <row r="34" spans="1:4" x14ac:dyDescent="0.5">
      <c r="A34" t="s">
        <v>1138</v>
      </c>
      <c r="B34">
        <f t="shared" si="0"/>
        <v>3</v>
      </c>
      <c r="C34">
        <v>2</v>
      </c>
      <c r="D34">
        <v>2</v>
      </c>
    </row>
    <row r="35" spans="1:4" x14ac:dyDescent="0.5">
      <c r="A35" t="s">
        <v>158</v>
      </c>
      <c r="B35">
        <f t="shared" si="0"/>
        <v>2</v>
      </c>
      <c r="C35">
        <v>2</v>
      </c>
      <c r="D35">
        <v>0</v>
      </c>
    </row>
    <row r="36" spans="1:4" x14ac:dyDescent="0.5">
      <c r="A36" t="s">
        <v>157</v>
      </c>
      <c r="B36">
        <f t="shared" si="0"/>
        <v>2</v>
      </c>
      <c r="C36">
        <v>2</v>
      </c>
      <c r="D36">
        <v>0</v>
      </c>
    </row>
    <row r="37" spans="1:4" x14ac:dyDescent="0.5">
      <c r="A37" t="s">
        <v>156</v>
      </c>
      <c r="B37">
        <f t="shared" si="0"/>
        <v>2</v>
      </c>
      <c r="C37">
        <v>2</v>
      </c>
      <c r="D37">
        <v>0</v>
      </c>
    </row>
    <row r="38" spans="1:4" x14ac:dyDescent="0.5">
      <c r="A38" t="s">
        <v>857</v>
      </c>
      <c r="B38">
        <f t="shared" si="0"/>
        <v>3.5</v>
      </c>
      <c r="C38">
        <v>3</v>
      </c>
      <c r="D38">
        <v>1</v>
      </c>
    </row>
    <row r="39" spans="1:4" x14ac:dyDescent="0.5">
      <c r="A39" t="s">
        <v>154</v>
      </c>
      <c r="B39">
        <f t="shared" si="0"/>
        <v>2</v>
      </c>
      <c r="C39">
        <v>2</v>
      </c>
      <c r="D39">
        <v>0</v>
      </c>
    </row>
    <row r="40" spans="1:4" x14ac:dyDescent="0.5">
      <c r="A40" t="s">
        <v>624</v>
      </c>
      <c r="B40">
        <f t="shared" si="0"/>
        <v>1</v>
      </c>
      <c r="C40">
        <v>1</v>
      </c>
      <c r="D40">
        <v>0</v>
      </c>
    </row>
    <row r="41" spans="1:4" x14ac:dyDescent="0.5">
      <c r="A41" t="s">
        <v>150</v>
      </c>
      <c r="B41">
        <f t="shared" si="0"/>
        <v>2</v>
      </c>
      <c r="C41">
        <v>2</v>
      </c>
      <c r="D41">
        <v>0</v>
      </c>
    </row>
    <row r="42" spans="1:4" x14ac:dyDescent="0.5">
      <c r="A42" t="s">
        <v>14</v>
      </c>
      <c r="B42">
        <f t="shared" si="0"/>
        <v>3</v>
      </c>
      <c r="C42">
        <v>3</v>
      </c>
      <c r="D42">
        <v>0</v>
      </c>
    </row>
    <row r="43" spans="1:4" x14ac:dyDescent="0.5">
      <c r="A43" t="s">
        <v>255</v>
      </c>
      <c r="B43">
        <f t="shared" si="0"/>
        <v>3</v>
      </c>
      <c r="C43">
        <v>3</v>
      </c>
      <c r="D43">
        <v>0</v>
      </c>
    </row>
    <row r="44" spans="1:4" x14ac:dyDescent="0.5">
      <c r="A44" t="s">
        <v>422</v>
      </c>
      <c r="B44">
        <f t="shared" si="0"/>
        <v>3</v>
      </c>
      <c r="C44">
        <v>3</v>
      </c>
      <c r="D44">
        <v>0</v>
      </c>
    </row>
    <row r="45" spans="1:4" x14ac:dyDescent="0.5">
      <c r="A45" t="s">
        <v>717</v>
      </c>
      <c r="B45">
        <f t="shared" si="0"/>
        <v>2.5</v>
      </c>
      <c r="C45">
        <v>2</v>
      </c>
      <c r="D45">
        <v>1</v>
      </c>
    </row>
    <row r="46" spans="1:4" x14ac:dyDescent="0.5">
      <c r="A46" t="s">
        <v>635</v>
      </c>
      <c r="B46">
        <f t="shared" si="0"/>
        <v>1</v>
      </c>
      <c r="C46">
        <v>1</v>
      </c>
      <c r="D46">
        <v>0</v>
      </c>
    </row>
    <row r="47" spans="1:4" x14ac:dyDescent="0.5">
      <c r="A47" t="s">
        <v>8</v>
      </c>
      <c r="B47">
        <f t="shared" si="0"/>
        <v>1</v>
      </c>
      <c r="C47">
        <v>1</v>
      </c>
      <c r="D47">
        <v>0</v>
      </c>
    </row>
    <row r="48" spans="1:4" x14ac:dyDescent="0.5">
      <c r="A48" t="s">
        <v>1071</v>
      </c>
      <c r="B48">
        <f t="shared" si="0"/>
        <v>1</v>
      </c>
      <c r="C48">
        <v>1</v>
      </c>
      <c r="D48">
        <v>0</v>
      </c>
    </row>
    <row r="49" spans="1:4" x14ac:dyDescent="0.5">
      <c r="A49" t="s">
        <v>654</v>
      </c>
      <c r="B49">
        <f t="shared" si="0"/>
        <v>1</v>
      </c>
      <c r="C49">
        <v>1</v>
      </c>
      <c r="D49">
        <v>0</v>
      </c>
    </row>
    <row r="50" spans="1:4" x14ac:dyDescent="0.5">
      <c r="A50" t="s">
        <v>652</v>
      </c>
      <c r="B50">
        <f t="shared" si="0"/>
        <v>1</v>
      </c>
      <c r="C50">
        <v>1</v>
      </c>
      <c r="D50">
        <v>0</v>
      </c>
    </row>
    <row r="51" spans="1:4" x14ac:dyDescent="0.5">
      <c r="A51" t="s">
        <v>708</v>
      </c>
      <c r="B51">
        <f t="shared" si="0"/>
        <v>2.5</v>
      </c>
      <c r="C51">
        <v>2</v>
      </c>
      <c r="D51">
        <v>1</v>
      </c>
    </row>
    <row r="52" spans="1:4" x14ac:dyDescent="0.5">
      <c r="A52" t="s">
        <v>1144</v>
      </c>
      <c r="B52">
        <f t="shared" si="0"/>
        <v>1</v>
      </c>
      <c r="C52">
        <v>1</v>
      </c>
      <c r="D52">
        <v>0</v>
      </c>
    </row>
    <row r="53" spans="1:4" x14ac:dyDescent="0.5">
      <c r="A53" t="s">
        <v>804</v>
      </c>
      <c r="B53">
        <f t="shared" si="0"/>
        <v>1</v>
      </c>
      <c r="C53">
        <v>1</v>
      </c>
      <c r="D53">
        <v>0</v>
      </c>
    </row>
    <row r="54" spans="1:4" x14ac:dyDescent="0.5">
      <c r="A54" t="s">
        <v>468</v>
      </c>
      <c r="B54">
        <f t="shared" si="0"/>
        <v>2.5</v>
      </c>
      <c r="C54">
        <v>2</v>
      </c>
      <c r="D54">
        <v>1</v>
      </c>
    </row>
    <row r="55" spans="1:4" x14ac:dyDescent="0.5">
      <c r="A55" t="s">
        <v>502</v>
      </c>
      <c r="B55">
        <f t="shared" si="0"/>
        <v>3</v>
      </c>
      <c r="C55">
        <v>3</v>
      </c>
      <c r="D55">
        <v>0</v>
      </c>
    </row>
    <row r="56" spans="1:4" x14ac:dyDescent="0.5">
      <c r="A56" t="s">
        <v>536</v>
      </c>
      <c r="B56">
        <f t="shared" si="0"/>
        <v>2</v>
      </c>
      <c r="C56">
        <v>2</v>
      </c>
      <c r="D56">
        <v>0</v>
      </c>
    </row>
    <row r="57" spans="1:4" x14ac:dyDescent="0.5">
      <c r="A57" t="s">
        <v>1145</v>
      </c>
      <c r="B57" t="e">
        <f t="shared" si="0"/>
        <v>#VALUE!</v>
      </c>
      <c r="C57" t="s">
        <v>2077</v>
      </c>
      <c r="D57" t="s">
        <v>2077</v>
      </c>
    </row>
    <row r="58" spans="1:4" x14ac:dyDescent="0.5">
      <c r="A58" t="s">
        <v>1148</v>
      </c>
      <c r="B58">
        <f t="shared" si="0"/>
        <v>1</v>
      </c>
      <c r="C58">
        <v>1</v>
      </c>
      <c r="D58">
        <v>0</v>
      </c>
    </row>
    <row r="59" spans="1:4" x14ac:dyDescent="0.5">
      <c r="A59" t="s">
        <v>1149</v>
      </c>
      <c r="B59">
        <f t="shared" si="0"/>
        <v>1</v>
      </c>
      <c r="C59">
        <v>1</v>
      </c>
      <c r="D59">
        <v>0</v>
      </c>
    </row>
    <row r="60" spans="1:4" x14ac:dyDescent="0.5">
      <c r="A60" t="s">
        <v>601</v>
      </c>
      <c r="B60">
        <f t="shared" si="0"/>
        <v>1</v>
      </c>
      <c r="C60">
        <v>1</v>
      </c>
      <c r="D60">
        <v>0</v>
      </c>
    </row>
    <row r="61" spans="1:4" x14ac:dyDescent="0.5">
      <c r="A61" t="s">
        <v>71</v>
      </c>
      <c r="B61">
        <f t="shared" si="0"/>
        <v>1</v>
      </c>
      <c r="C61">
        <v>1</v>
      </c>
      <c r="D61">
        <v>0</v>
      </c>
    </row>
    <row r="62" spans="1:4" x14ac:dyDescent="0.5">
      <c r="A62" t="s">
        <v>60</v>
      </c>
      <c r="B62">
        <f t="shared" si="0"/>
        <v>1.5</v>
      </c>
      <c r="C62">
        <v>1</v>
      </c>
      <c r="D62">
        <v>1</v>
      </c>
    </row>
    <row r="63" spans="1:4" x14ac:dyDescent="0.5">
      <c r="A63" t="s">
        <v>772</v>
      </c>
      <c r="B63">
        <f t="shared" si="0"/>
        <v>3</v>
      </c>
      <c r="C63">
        <v>3</v>
      </c>
      <c r="D63">
        <v>0</v>
      </c>
    </row>
    <row r="64" spans="1:4" x14ac:dyDescent="0.5">
      <c r="A64" t="s">
        <v>1076</v>
      </c>
      <c r="B64">
        <f t="shared" si="0"/>
        <v>1</v>
      </c>
      <c r="C64">
        <v>1</v>
      </c>
      <c r="D64">
        <v>0</v>
      </c>
    </row>
    <row r="65" spans="1:4" x14ac:dyDescent="0.5">
      <c r="A65" t="s">
        <v>1152</v>
      </c>
      <c r="B65">
        <f t="shared" si="0"/>
        <v>1</v>
      </c>
      <c r="C65">
        <v>1</v>
      </c>
      <c r="D65">
        <v>0</v>
      </c>
    </row>
    <row r="66" spans="1:4" x14ac:dyDescent="0.5">
      <c r="A66" t="s">
        <v>1152</v>
      </c>
      <c r="B66">
        <f t="shared" si="0"/>
        <v>1</v>
      </c>
      <c r="C66">
        <v>1</v>
      </c>
      <c r="D66">
        <v>0</v>
      </c>
    </row>
    <row r="67" spans="1:4" x14ac:dyDescent="0.5">
      <c r="A67" t="s">
        <v>1010</v>
      </c>
      <c r="B67">
        <f t="shared" ref="B67:B129" si="1">SUM(C67 + 1/2*D67)</f>
        <v>1</v>
      </c>
      <c r="C67">
        <v>1</v>
      </c>
      <c r="D67">
        <v>0</v>
      </c>
    </row>
    <row r="68" spans="1:4" x14ac:dyDescent="0.5">
      <c r="A68" t="s">
        <v>702</v>
      </c>
      <c r="B68">
        <f t="shared" si="1"/>
        <v>1</v>
      </c>
      <c r="C68">
        <v>1</v>
      </c>
      <c r="D68">
        <v>0</v>
      </c>
    </row>
    <row r="69" spans="1:4" x14ac:dyDescent="0.5">
      <c r="A69" t="s">
        <v>569</v>
      </c>
      <c r="B69">
        <f t="shared" si="1"/>
        <v>1</v>
      </c>
      <c r="C69">
        <v>1</v>
      </c>
      <c r="D69">
        <v>0</v>
      </c>
    </row>
    <row r="70" spans="1:4" x14ac:dyDescent="0.5">
      <c r="A70" t="s">
        <v>606</v>
      </c>
      <c r="B70">
        <f t="shared" si="1"/>
        <v>1</v>
      </c>
      <c r="C70">
        <v>1</v>
      </c>
      <c r="D70">
        <v>0</v>
      </c>
    </row>
    <row r="71" spans="1:4" x14ac:dyDescent="0.5">
      <c r="A71" t="s">
        <v>141</v>
      </c>
      <c r="B71">
        <f t="shared" si="1"/>
        <v>2</v>
      </c>
      <c r="C71">
        <v>2</v>
      </c>
      <c r="D71">
        <v>0</v>
      </c>
    </row>
    <row r="72" spans="1:4" x14ac:dyDescent="0.5">
      <c r="A72" t="s">
        <v>460</v>
      </c>
      <c r="B72">
        <f t="shared" si="1"/>
        <v>2.5</v>
      </c>
      <c r="C72">
        <v>2</v>
      </c>
      <c r="D72">
        <v>1</v>
      </c>
    </row>
    <row r="73" spans="1:4" x14ac:dyDescent="0.5">
      <c r="A73" t="s">
        <v>1028</v>
      </c>
      <c r="B73">
        <f t="shared" si="1"/>
        <v>2</v>
      </c>
      <c r="C73">
        <v>2</v>
      </c>
      <c r="D73">
        <v>0</v>
      </c>
    </row>
    <row r="74" spans="1:4" x14ac:dyDescent="0.5">
      <c r="A74" t="s">
        <v>487</v>
      </c>
      <c r="B74">
        <f t="shared" si="1"/>
        <v>3</v>
      </c>
      <c r="C74">
        <v>3</v>
      </c>
      <c r="D74">
        <v>0</v>
      </c>
    </row>
    <row r="75" spans="1:4" x14ac:dyDescent="0.5">
      <c r="A75" t="s">
        <v>495</v>
      </c>
      <c r="B75">
        <f t="shared" si="1"/>
        <v>2</v>
      </c>
      <c r="C75">
        <v>2</v>
      </c>
      <c r="D75">
        <v>0</v>
      </c>
    </row>
    <row r="76" spans="1:4" x14ac:dyDescent="0.5">
      <c r="A76" t="s">
        <v>1154</v>
      </c>
      <c r="B76">
        <f t="shared" si="1"/>
        <v>1</v>
      </c>
      <c r="C76">
        <v>1</v>
      </c>
      <c r="D76">
        <v>0</v>
      </c>
    </row>
    <row r="77" spans="1:4" x14ac:dyDescent="0.5">
      <c r="A77" t="s">
        <v>869</v>
      </c>
      <c r="B77">
        <f t="shared" si="1"/>
        <v>1</v>
      </c>
      <c r="C77">
        <v>1</v>
      </c>
      <c r="D77">
        <v>0</v>
      </c>
    </row>
    <row r="78" spans="1:4" x14ac:dyDescent="0.5">
      <c r="A78" t="s">
        <v>719</v>
      </c>
      <c r="B78">
        <f t="shared" si="1"/>
        <v>1</v>
      </c>
      <c r="C78">
        <v>1</v>
      </c>
      <c r="D78">
        <v>0</v>
      </c>
    </row>
    <row r="79" spans="1:4" x14ac:dyDescent="0.5">
      <c r="A79" t="s">
        <v>997</v>
      </c>
      <c r="B79">
        <f t="shared" si="1"/>
        <v>3.5</v>
      </c>
      <c r="C79">
        <v>3</v>
      </c>
      <c r="D79">
        <v>1</v>
      </c>
    </row>
    <row r="80" spans="1:4" x14ac:dyDescent="0.5">
      <c r="A80" t="s">
        <v>1155</v>
      </c>
      <c r="B80">
        <f t="shared" si="1"/>
        <v>3.5</v>
      </c>
      <c r="C80">
        <v>3</v>
      </c>
      <c r="D80">
        <v>1</v>
      </c>
    </row>
    <row r="81" spans="1:4" x14ac:dyDescent="0.5">
      <c r="A81" t="s">
        <v>1156</v>
      </c>
      <c r="B81">
        <f t="shared" si="1"/>
        <v>1</v>
      </c>
      <c r="C81">
        <v>1</v>
      </c>
      <c r="D81">
        <v>0</v>
      </c>
    </row>
    <row r="82" spans="1:4" x14ac:dyDescent="0.5">
      <c r="A82" t="s">
        <v>611</v>
      </c>
      <c r="B82">
        <f t="shared" si="1"/>
        <v>1</v>
      </c>
      <c r="C82">
        <v>1</v>
      </c>
      <c r="D82">
        <v>0</v>
      </c>
    </row>
    <row r="83" spans="1:4" x14ac:dyDescent="0.5">
      <c r="A83" t="s">
        <v>1157</v>
      </c>
      <c r="B83">
        <f t="shared" si="1"/>
        <v>2</v>
      </c>
      <c r="C83">
        <v>2</v>
      </c>
      <c r="D83">
        <v>0</v>
      </c>
    </row>
    <row r="84" spans="1:4" x14ac:dyDescent="0.5">
      <c r="A84" t="s">
        <v>1077</v>
      </c>
      <c r="B84">
        <f t="shared" si="1"/>
        <v>2</v>
      </c>
      <c r="C84">
        <v>2</v>
      </c>
      <c r="D84">
        <v>0</v>
      </c>
    </row>
    <row r="85" spans="1:4" x14ac:dyDescent="0.5">
      <c r="A85" t="s">
        <v>1158</v>
      </c>
      <c r="B85">
        <f t="shared" si="1"/>
        <v>1</v>
      </c>
      <c r="C85">
        <v>1</v>
      </c>
      <c r="D85">
        <v>0</v>
      </c>
    </row>
    <row r="86" spans="1:4" x14ac:dyDescent="0.5">
      <c r="A86" t="s">
        <v>319</v>
      </c>
      <c r="B86">
        <f t="shared" si="1"/>
        <v>1</v>
      </c>
      <c r="C86">
        <v>1</v>
      </c>
      <c r="D86">
        <v>0</v>
      </c>
    </row>
    <row r="87" spans="1:4" x14ac:dyDescent="0.5">
      <c r="A87" t="s">
        <v>686</v>
      </c>
      <c r="B87">
        <f t="shared" si="1"/>
        <v>1</v>
      </c>
      <c r="C87">
        <v>1</v>
      </c>
      <c r="D87">
        <v>0</v>
      </c>
    </row>
    <row r="88" spans="1:4" x14ac:dyDescent="0.5">
      <c r="A88" t="s">
        <v>984</v>
      </c>
      <c r="B88">
        <f t="shared" si="1"/>
        <v>1</v>
      </c>
      <c r="C88">
        <v>1</v>
      </c>
      <c r="D88">
        <v>0</v>
      </c>
    </row>
    <row r="89" spans="1:4" x14ac:dyDescent="0.5">
      <c r="A89" t="s">
        <v>985</v>
      </c>
      <c r="B89">
        <f t="shared" si="1"/>
        <v>2.5</v>
      </c>
      <c r="C89">
        <v>2</v>
      </c>
      <c r="D89">
        <v>1</v>
      </c>
    </row>
    <row r="90" spans="1:4" x14ac:dyDescent="0.5">
      <c r="A90" t="s">
        <v>1085</v>
      </c>
      <c r="B90">
        <f t="shared" si="1"/>
        <v>2.5</v>
      </c>
      <c r="C90">
        <v>2</v>
      </c>
      <c r="D90">
        <v>1</v>
      </c>
    </row>
    <row r="91" spans="1:4" x14ac:dyDescent="0.5">
      <c r="A91" t="s">
        <v>330</v>
      </c>
      <c r="B91">
        <f t="shared" si="1"/>
        <v>3.5</v>
      </c>
      <c r="C91">
        <v>3</v>
      </c>
      <c r="D91">
        <v>1</v>
      </c>
    </row>
    <row r="92" spans="1:4" x14ac:dyDescent="0.5">
      <c r="A92" t="s">
        <v>1161</v>
      </c>
      <c r="B92">
        <f t="shared" si="1"/>
        <v>1.5</v>
      </c>
      <c r="C92">
        <v>1</v>
      </c>
      <c r="D92">
        <v>1</v>
      </c>
    </row>
    <row r="93" spans="1:4" x14ac:dyDescent="0.5">
      <c r="A93" t="s">
        <v>1043</v>
      </c>
      <c r="B93">
        <f t="shared" si="1"/>
        <v>2.5</v>
      </c>
      <c r="C93">
        <v>2</v>
      </c>
      <c r="D93">
        <v>1</v>
      </c>
    </row>
    <row r="94" spans="1:4" x14ac:dyDescent="0.5">
      <c r="A94" t="s">
        <v>1162</v>
      </c>
      <c r="B94">
        <f t="shared" si="1"/>
        <v>2</v>
      </c>
      <c r="C94">
        <v>2</v>
      </c>
      <c r="D94">
        <v>0</v>
      </c>
    </row>
    <row r="95" spans="1:4" x14ac:dyDescent="0.5">
      <c r="A95" t="s">
        <v>351</v>
      </c>
      <c r="B95">
        <f t="shared" si="1"/>
        <v>3</v>
      </c>
      <c r="C95">
        <v>3</v>
      </c>
      <c r="D95">
        <v>0</v>
      </c>
    </row>
    <row r="96" spans="1:4" x14ac:dyDescent="0.5">
      <c r="A96" t="s">
        <v>552</v>
      </c>
      <c r="B96">
        <v>4</v>
      </c>
      <c r="C96" t="s">
        <v>2077</v>
      </c>
      <c r="D96">
        <v>0</v>
      </c>
    </row>
    <row r="97" spans="1:4" x14ac:dyDescent="0.5">
      <c r="A97" t="s">
        <v>681</v>
      </c>
      <c r="B97">
        <f t="shared" si="1"/>
        <v>2.5</v>
      </c>
      <c r="C97">
        <v>2</v>
      </c>
      <c r="D97">
        <v>1</v>
      </c>
    </row>
    <row r="98" spans="1:4" x14ac:dyDescent="0.5">
      <c r="A98" t="s">
        <v>1166</v>
      </c>
      <c r="B98">
        <f t="shared" si="1"/>
        <v>2</v>
      </c>
      <c r="C98">
        <v>2</v>
      </c>
      <c r="D98">
        <v>0</v>
      </c>
    </row>
    <row r="99" spans="1:4" x14ac:dyDescent="0.5">
      <c r="A99" t="s">
        <v>1167</v>
      </c>
      <c r="B99">
        <f t="shared" si="1"/>
        <v>3</v>
      </c>
      <c r="C99">
        <v>3</v>
      </c>
      <c r="D99">
        <v>0</v>
      </c>
    </row>
    <row r="100" spans="1:4" x14ac:dyDescent="0.5">
      <c r="A100" t="s">
        <v>1168</v>
      </c>
      <c r="B100">
        <f t="shared" si="1"/>
        <v>1.5</v>
      </c>
      <c r="C100">
        <v>1</v>
      </c>
      <c r="D100">
        <v>1</v>
      </c>
    </row>
    <row r="101" spans="1:4" x14ac:dyDescent="0.5">
      <c r="A101" t="s">
        <v>1169</v>
      </c>
      <c r="B101">
        <f t="shared" si="1"/>
        <v>1</v>
      </c>
      <c r="C101">
        <v>1</v>
      </c>
      <c r="D101">
        <v>0</v>
      </c>
    </row>
    <row r="102" spans="1:4" x14ac:dyDescent="0.5">
      <c r="A102" t="s">
        <v>1171</v>
      </c>
      <c r="B102">
        <f t="shared" si="1"/>
        <v>1</v>
      </c>
      <c r="C102">
        <v>1</v>
      </c>
      <c r="D102">
        <v>0</v>
      </c>
    </row>
    <row r="103" spans="1:4" x14ac:dyDescent="0.5">
      <c r="A103" t="s">
        <v>1172</v>
      </c>
      <c r="B103">
        <f t="shared" si="1"/>
        <v>1</v>
      </c>
      <c r="C103">
        <v>1</v>
      </c>
      <c r="D103">
        <v>0</v>
      </c>
    </row>
    <row r="104" spans="1:4" x14ac:dyDescent="0.5">
      <c r="A104" t="s">
        <v>1173</v>
      </c>
      <c r="B104">
        <f t="shared" si="1"/>
        <v>1</v>
      </c>
      <c r="C104">
        <v>1</v>
      </c>
      <c r="D104">
        <v>0</v>
      </c>
    </row>
    <row r="105" spans="1:4" x14ac:dyDescent="0.5">
      <c r="A105" t="s">
        <v>1174</v>
      </c>
      <c r="B105">
        <f t="shared" si="1"/>
        <v>2</v>
      </c>
      <c r="C105">
        <v>2</v>
      </c>
      <c r="D105">
        <v>0</v>
      </c>
    </row>
    <row r="106" spans="1:4" x14ac:dyDescent="0.5">
      <c r="A106" t="s">
        <v>1175</v>
      </c>
      <c r="B106">
        <f t="shared" si="1"/>
        <v>3</v>
      </c>
      <c r="C106">
        <v>3</v>
      </c>
      <c r="D106">
        <v>0</v>
      </c>
    </row>
    <row r="107" spans="1:4" x14ac:dyDescent="0.5">
      <c r="A107" t="s">
        <v>759</v>
      </c>
      <c r="B107">
        <f t="shared" si="1"/>
        <v>1</v>
      </c>
      <c r="C107">
        <v>1</v>
      </c>
      <c r="D107">
        <v>0</v>
      </c>
    </row>
    <row r="108" spans="1:4" x14ac:dyDescent="0.5">
      <c r="A108" t="s">
        <v>1176</v>
      </c>
      <c r="B108">
        <f t="shared" si="1"/>
        <v>1</v>
      </c>
      <c r="C108">
        <v>1</v>
      </c>
      <c r="D108">
        <v>0</v>
      </c>
    </row>
    <row r="109" spans="1:4" x14ac:dyDescent="0.5">
      <c r="A109" t="s">
        <v>31</v>
      </c>
      <c r="B109">
        <f t="shared" si="1"/>
        <v>3.5</v>
      </c>
      <c r="C109">
        <v>3</v>
      </c>
      <c r="D109">
        <v>1</v>
      </c>
    </row>
    <row r="110" spans="1:4" x14ac:dyDescent="0.5">
      <c r="A110" t="s">
        <v>1178</v>
      </c>
      <c r="B110">
        <f t="shared" si="1"/>
        <v>3.5</v>
      </c>
      <c r="C110">
        <v>3</v>
      </c>
      <c r="D110">
        <v>1</v>
      </c>
    </row>
    <row r="111" spans="1:4" x14ac:dyDescent="0.5">
      <c r="A111" t="s">
        <v>165</v>
      </c>
      <c r="B111">
        <f t="shared" si="1"/>
        <v>2.5</v>
      </c>
      <c r="C111">
        <v>2</v>
      </c>
      <c r="D111">
        <v>1</v>
      </c>
    </row>
    <row r="112" spans="1:4" x14ac:dyDescent="0.5">
      <c r="A112" t="s">
        <v>1179</v>
      </c>
      <c r="B112">
        <f t="shared" si="1"/>
        <v>1</v>
      </c>
      <c r="C112">
        <v>1</v>
      </c>
      <c r="D112">
        <v>0</v>
      </c>
    </row>
    <row r="113" spans="1:4" x14ac:dyDescent="0.5">
      <c r="A113" t="s">
        <v>768</v>
      </c>
      <c r="B113">
        <f t="shared" si="1"/>
        <v>1</v>
      </c>
      <c r="C113">
        <v>1</v>
      </c>
      <c r="D113">
        <v>0</v>
      </c>
    </row>
    <row r="114" spans="1:4" x14ac:dyDescent="0.5">
      <c r="A114" t="s">
        <v>1067</v>
      </c>
      <c r="B114">
        <f t="shared" si="1"/>
        <v>3</v>
      </c>
      <c r="C114">
        <v>3</v>
      </c>
      <c r="D114">
        <v>0</v>
      </c>
    </row>
    <row r="115" spans="1:4" x14ac:dyDescent="0.5">
      <c r="A115" t="s">
        <v>176</v>
      </c>
      <c r="B115">
        <f t="shared" si="1"/>
        <v>1.5</v>
      </c>
      <c r="C115">
        <v>1</v>
      </c>
      <c r="D115">
        <v>1</v>
      </c>
    </row>
    <row r="116" spans="1:4" x14ac:dyDescent="0.5">
      <c r="A116" t="s">
        <v>1008</v>
      </c>
      <c r="B116">
        <f t="shared" si="1"/>
        <v>1</v>
      </c>
      <c r="C116">
        <v>1</v>
      </c>
      <c r="D116">
        <v>0</v>
      </c>
    </row>
    <row r="117" spans="1:4" x14ac:dyDescent="0.5">
      <c r="A117" t="s">
        <v>1181</v>
      </c>
      <c r="B117">
        <f t="shared" si="1"/>
        <v>2.5</v>
      </c>
      <c r="C117">
        <v>2</v>
      </c>
      <c r="D117">
        <v>1</v>
      </c>
    </row>
    <row r="118" spans="1:4" x14ac:dyDescent="0.5">
      <c r="A118" t="s">
        <v>1182</v>
      </c>
      <c r="B118">
        <f t="shared" si="1"/>
        <v>3.5</v>
      </c>
      <c r="C118">
        <v>3</v>
      </c>
      <c r="D118">
        <v>1</v>
      </c>
    </row>
    <row r="119" spans="1:4" x14ac:dyDescent="0.5">
      <c r="A119" t="s">
        <v>1183</v>
      </c>
      <c r="B119">
        <f t="shared" si="1"/>
        <v>2</v>
      </c>
      <c r="C119">
        <v>2</v>
      </c>
      <c r="D119">
        <v>0</v>
      </c>
    </row>
    <row r="120" spans="1:4" x14ac:dyDescent="0.5">
      <c r="A120" t="s">
        <v>1184</v>
      </c>
      <c r="B120">
        <f t="shared" si="1"/>
        <v>2.5</v>
      </c>
      <c r="C120">
        <v>2</v>
      </c>
      <c r="D120">
        <v>1</v>
      </c>
    </row>
    <row r="121" spans="1:4" x14ac:dyDescent="0.5">
      <c r="A121" t="s">
        <v>1185</v>
      </c>
      <c r="B121">
        <f t="shared" si="1"/>
        <v>1.5</v>
      </c>
      <c r="C121">
        <v>1</v>
      </c>
      <c r="D121">
        <v>1</v>
      </c>
    </row>
    <row r="122" spans="1:4" x14ac:dyDescent="0.5">
      <c r="A122" t="s">
        <v>1186</v>
      </c>
      <c r="B122">
        <f t="shared" si="1"/>
        <v>2</v>
      </c>
      <c r="C122">
        <v>2</v>
      </c>
      <c r="D122">
        <v>0</v>
      </c>
    </row>
    <row r="123" spans="1:4" x14ac:dyDescent="0.5">
      <c r="A123" t="s">
        <v>1187</v>
      </c>
      <c r="B123">
        <f t="shared" si="1"/>
        <v>2</v>
      </c>
      <c r="C123">
        <v>2</v>
      </c>
      <c r="D123">
        <v>0</v>
      </c>
    </row>
    <row r="124" spans="1:4" x14ac:dyDescent="0.5">
      <c r="A124" t="s">
        <v>1188</v>
      </c>
      <c r="B124">
        <f t="shared" si="1"/>
        <v>3.5</v>
      </c>
      <c r="C124">
        <v>3</v>
      </c>
      <c r="D124">
        <v>1</v>
      </c>
    </row>
    <row r="125" spans="1:4" x14ac:dyDescent="0.5">
      <c r="A125" t="s">
        <v>1189</v>
      </c>
      <c r="B125">
        <f t="shared" si="1"/>
        <v>1</v>
      </c>
      <c r="C125">
        <v>1</v>
      </c>
      <c r="D125">
        <v>0</v>
      </c>
    </row>
    <row r="126" spans="1:4" x14ac:dyDescent="0.5">
      <c r="A126" t="s">
        <v>1190</v>
      </c>
      <c r="B126">
        <f t="shared" si="1"/>
        <v>1</v>
      </c>
      <c r="C126">
        <v>1</v>
      </c>
      <c r="D126">
        <v>0</v>
      </c>
    </row>
    <row r="127" spans="1:4" x14ac:dyDescent="0.5">
      <c r="A127" t="s">
        <v>1192</v>
      </c>
      <c r="B127">
        <f t="shared" si="1"/>
        <v>3.5</v>
      </c>
      <c r="C127">
        <v>3</v>
      </c>
      <c r="D127">
        <v>1</v>
      </c>
    </row>
    <row r="128" spans="1:4" x14ac:dyDescent="0.5">
      <c r="A128" t="s">
        <v>1193</v>
      </c>
      <c r="B128">
        <f t="shared" si="1"/>
        <v>1.5</v>
      </c>
      <c r="C128">
        <v>1</v>
      </c>
      <c r="D128">
        <v>1</v>
      </c>
    </row>
    <row r="129" spans="1:4" x14ac:dyDescent="0.5">
      <c r="A129" t="s">
        <v>1010</v>
      </c>
      <c r="B129" t="e">
        <f t="shared" si="1"/>
        <v>#VALUE!</v>
      </c>
      <c r="C129" t="s">
        <v>2077</v>
      </c>
      <c r="D129">
        <v>0</v>
      </c>
    </row>
    <row r="130" spans="1:4" x14ac:dyDescent="0.5">
      <c r="A130" t="s">
        <v>977</v>
      </c>
      <c r="B130">
        <f t="shared" ref="B130:B193" si="2">SUM(C130 + 1/2*D130)</f>
        <v>2.5</v>
      </c>
      <c r="C130">
        <v>2</v>
      </c>
      <c r="D130">
        <v>1</v>
      </c>
    </row>
    <row r="131" spans="1:4" x14ac:dyDescent="0.5">
      <c r="A131" t="s">
        <v>1194</v>
      </c>
      <c r="B131">
        <f t="shared" si="2"/>
        <v>3.5</v>
      </c>
      <c r="C131">
        <v>3</v>
      </c>
      <c r="D131">
        <v>1</v>
      </c>
    </row>
    <row r="132" spans="1:4" x14ac:dyDescent="0.5">
      <c r="A132" t="s">
        <v>1196</v>
      </c>
      <c r="B132">
        <f t="shared" si="2"/>
        <v>1</v>
      </c>
      <c r="C132">
        <v>1</v>
      </c>
      <c r="D132">
        <v>0</v>
      </c>
    </row>
    <row r="133" spans="1:4" x14ac:dyDescent="0.5">
      <c r="A133" t="s">
        <v>1197</v>
      </c>
      <c r="B133">
        <f t="shared" si="2"/>
        <v>1.5</v>
      </c>
      <c r="C133">
        <v>1</v>
      </c>
      <c r="D133">
        <v>1</v>
      </c>
    </row>
    <row r="134" spans="1:4" x14ac:dyDescent="0.5">
      <c r="A134" t="s">
        <v>1198</v>
      </c>
      <c r="B134">
        <f t="shared" si="2"/>
        <v>3.5</v>
      </c>
      <c r="C134">
        <v>3</v>
      </c>
      <c r="D134">
        <v>1</v>
      </c>
    </row>
    <row r="135" spans="1:4" x14ac:dyDescent="0.5">
      <c r="A135" t="s">
        <v>1199</v>
      </c>
      <c r="B135">
        <f t="shared" si="2"/>
        <v>2</v>
      </c>
      <c r="C135">
        <v>2</v>
      </c>
      <c r="D135">
        <v>0</v>
      </c>
    </row>
    <row r="136" spans="1:4" x14ac:dyDescent="0.5">
      <c r="A136" t="s">
        <v>960</v>
      </c>
      <c r="B136">
        <f t="shared" si="2"/>
        <v>1</v>
      </c>
      <c r="C136">
        <v>1</v>
      </c>
      <c r="D136">
        <v>0</v>
      </c>
    </row>
    <row r="137" spans="1:4" x14ac:dyDescent="0.5">
      <c r="A137" t="s">
        <v>958</v>
      </c>
      <c r="B137">
        <f t="shared" si="2"/>
        <v>1</v>
      </c>
      <c r="C137">
        <v>1</v>
      </c>
      <c r="D137">
        <v>0</v>
      </c>
    </row>
    <row r="138" spans="1:4" x14ac:dyDescent="0.5">
      <c r="A138" t="s">
        <v>952</v>
      </c>
      <c r="B138">
        <f t="shared" si="2"/>
        <v>1</v>
      </c>
      <c r="C138">
        <v>1</v>
      </c>
      <c r="D138">
        <v>0</v>
      </c>
    </row>
    <row r="139" spans="1:4" x14ac:dyDescent="0.5">
      <c r="A139" t="s">
        <v>955</v>
      </c>
      <c r="B139">
        <f t="shared" si="2"/>
        <v>1</v>
      </c>
      <c r="C139">
        <v>1</v>
      </c>
      <c r="D139">
        <v>0</v>
      </c>
    </row>
    <row r="140" spans="1:4" x14ac:dyDescent="0.5">
      <c r="A140" t="s">
        <v>949</v>
      </c>
      <c r="B140">
        <f t="shared" si="2"/>
        <v>1</v>
      </c>
      <c r="C140">
        <v>1</v>
      </c>
      <c r="D140">
        <v>0</v>
      </c>
    </row>
    <row r="141" spans="1:4" x14ac:dyDescent="0.5">
      <c r="A141" t="s">
        <v>1200</v>
      </c>
      <c r="B141">
        <f t="shared" si="2"/>
        <v>1</v>
      </c>
      <c r="C141">
        <v>1</v>
      </c>
      <c r="D141">
        <v>0</v>
      </c>
    </row>
    <row r="142" spans="1:4" x14ac:dyDescent="0.5">
      <c r="A142" t="s">
        <v>1201</v>
      </c>
      <c r="B142">
        <f t="shared" si="2"/>
        <v>1</v>
      </c>
      <c r="C142">
        <v>1</v>
      </c>
      <c r="D142">
        <v>0</v>
      </c>
    </row>
    <row r="143" spans="1:4" x14ac:dyDescent="0.5">
      <c r="A143" t="s">
        <v>1202</v>
      </c>
      <c r="B143">
        <f t="shared" si="2"/>
        <v>1</v>
      </c>
      <c r="C143">
        <v>1</v>
      </c>
      <c r="D143">
        <v>0</v>
      </c>
    </row>
    <row r="144" spans="1:4" x14ac:dyDescent="0.5">
      <c r="A144" t="s">
        <v>1203</v>
      </c>
      <c r="B144">
        <f t="shared" si="2"/>
        <v>1</v>
      </c>
      <c r="C144">
        <v>1</v>
      </c>
      <c r="D144">
        <v>0</v>
      </c>
    </row>
    <row r="145" spans="1:4" x14ac:dyDescent="0.5">
      <c r="A145" t="s">
        <v>1204</v>
      </c>
      <c r="B145">
        <f t="shared" si="2"/>
        <v>2</v>
      </c>
      <c r="C145">
        <v>2</v>
      </c>
      <c r="D145">
        <v>0</v>
      </c>
    </row>
    <row r="146" spans="1:4" x14ac:dyDescent="0.5">
      <c r="A146" t="s">
        <v>1205</v>
      </c>
      <c r="B146">
        <f t="shared" si="2"/>
        <v>1</v>
      </c>
      <c r="C146">
        <v>1</v>
      </c>
      <c r="D146">
        <v>0</v>
      </c>
    </row>
    <row r="147" spans="1:4" x14ac:dyDescent="0.5">
      <c r="A147" t="s">
        <v>1206</v>
      </c>
      <c r="B147">
        <f t="shared" si="2"/>
        <v>2</v>
      </c>
      <c r="C147">
        <v>2</v>
      </c>
      <c r="D147">
        <v>0</v>
      </c>
    </row>
    <row r="148" spans="1:4" x14ac:dyDescent="0.5">
      <c r="A148" t="s">
        <v>1207</v>
      </c>
      <c r="B148">
        <f t="shared" si="2"/>
        <v>2.5</v>
      </c>
      <c r="C148">
        <v>2</v>
      </c>
      <c r="D148">
        <v>1</v>
      </c>
    </row>
    <row r="149" spans="1:4" x14ac:dyDescent="0.5">
      <c r="A149" t="s">
        <v>1208</v>
      </c>
      <c r="B149">
        <f t="shared" si="2"/>
        <v>1</v>
      </c>
      <c r="C149">
        <v>1</v>
      </c>
      <c r="D149">
        <v>0</v>
      </c>
    </row>
    <row r="150" spans="1:4" x14ac:dyDescent="0.5">
      <c r="A150" t="s">
        <v>1209</v>
      </c>
      <c r="B150">
        <f t="shared" si="2"/>
        <v>1</v>
      </c>
      <c r="C150">
        <v>1</v>
      </c>
      <c r="D150">
        <v>0</v>
      </c>
    </row>
    <row r="151" spans="1:4" x14ac:dyDescent="0.5">
      <c r="A151" t="s">
        <v>1210</v>
      </c>
      <c r="B151">
        <f t="shared" si="2"/>
        <v>1</v>
      </c>
      <c r="C151">
        <v>1</v>
      </c>
      <c r="D151">
        <v>0</v>
      </c>
    </row>
    <row r="152" spans="1:4" x14ac:dyDescent="0.5">
      <c r="A152" t="s">
        <v>1211</v>
      </c>
      <c r="B152">
        <f t="shared" si="2"/>
        <v>2.5</v>
      </c>
      <c r="C152">
        <v>2</v>
      </c>
      <c r="D152">
        <v>1</v>
      </c>
    </row>
    <row r="153" spans="1:4" x14ac:dyDescent="0.5">
      <c r="A153" t="s">
        <v>1212</v>
      </c>
      <c r="B153">
        <f t="shared" si="2"/>
        <v>2.5</v>
      </c>
      <c r="C153">
        <v>2</v>
      </c>
      <c r="D153">
        <v>1</v>
      </c>
    </row>
    <row r="154" spans="1:4" x14ac:dyDescent="0.5">
      <c r="A154" t="s">
        <v>1213</v>
      </c>
      <c r="B154">
        <f t="shared" si="2"/>
        <v>3.5</v>
      </c>
      <c r="C154">
        <v>3</v>
      </c>
      <c r="D154">
        <v>1</v>
      </c>
    </row>
    <row r="155" spans="1:4" x14ac:dyDescent="0.5">
      <c r="A155" t="s">
        <v>991</v>
      </c>
      <c r="B155">
        <f t="shared" si="2"/>
        <v>2.5</v>
      </c>
      <c r="C155">
        <v>2</v>
      </c>
      <c r="D155">
        <v>1</v>
      </c>
    </row>
    <row r="156" spans="1:4" x14ac:dyDescent="0.5">
      <c r="A156" t="s">
        <v>1214</v>
      </c>
      <c r="B156">
        <f t="shared" si="2"/>
        <v>1.5</v>
      </c>
      <c r="C156">
        <v>1</v>
      </c>
      <c r="D156">
        <v>1</v>
      </c>
    </row>
    <row r="157" spans="1:4" x14ac:dyDescent="0.5">
      <c r="A157" t="s">
        <v>677</v>
      </c>
      <c r="B157">
        <f t="shared" si="2"/>
        <v>1.5</v>
      </c>
      <c r="C157">
        <v>1</v>
      </c>
      <c r="D157">
        <v>1</v>
      </c>
    </row>
    <row r="158" spans="1:4" x14ac:dyDescent="0.5">
      <c r="A158" t="s">
        <v>365</v>
      </c>
      <c r="B158">
        <f t="shared" si="2"/>
        <v>2</v>
      </c>
      <c r="C158">
        <v>2</v>
      </c>
      <c r="D158">
        <v>0</v>
      </c>
    </row>
    <row r="159" spans="1:4" x14ac:dyDescent="0.5">
      <c r="A159" t="s">
        <v>1215</v>
      </c>
      <c r="B159">
        <f t="shared" si="2"/>
        <v>2</v>
      </c>
      <c r="C159">
        <v>2</v>
      </c>
      <c r="D159">
        <v>0</v>
      </c>
    </row>
    <row r="160" spans="1:4" x14ac:dyDescent="0.5">
      <c r="A160" t="s">
        <v>1216</v>
      </c>
      <c r="B160">
        <f t="shared" si="2"/>
        <v>1</v>
      </c>
      <c r="C160">
        <v>1</v>
      </c>
      <c r="D160">
        <v>0</v>
      </c>
    </row>
    <row r="161" spans="1:4" x14ac:dyDescent="0.5">
      <c r="A161" t="s">
        <v>506</v>
      </c>
      <c r="B161">
        <f t="shared" si="2"/>
        <v>3</v>
      </c>
      <c r="C161">
        <v>3</v>
      </c>
      <c r="D161">
        <v>0</v>
      </c>
    </row>
    <row r="162" spans="1:4" x14ac:dyDescent="0.5">
      <c r="A162" t="s">
        <v>832</v>
      </c>
      <c r="B162">
        <f t="shared" si="2"/>
        <v>1</v>
      </c>
      <c r="C162">
        <v>1</v>
      </c>
      <c r="D162">
        <v>0</v>
      </c>
    </row>
    <row r="163" spans="1:4" x14ac:dyDescent="0.5">
      <c r="A163" t="s">
        <v>1219</v>
      </c>
      <c r="B163">
        <f t="shared" si="2"/>
        <v>2</v>
      </c>
      <c r="C163">
        <v>2</v>
      </c>
      <c r="D163">
        <v>0</v>
      </c>
    </row>
    <row r="164" spans="1:4" x14ac:dyDescent="0.5">
      <c r="A164" t="s">
        <v>1220</v>
      </c>
      <c r="B164">
        <f t="shared" si="2"/>
        <v>1</v>
      </c>
      <c r="C164">
        <v>1</v>
      </c>
      <c r="D164">
        <v>0</v>
      </c>
    </row>
    <row r="165" spans="1:4" x14ac:dyDescent="0.5">
      <c r="A165" t="s">
        <v>1221</v>
      </c>
      <c r="B165">
        <f t="shared" si="2"/>
        <v>1</v>
      </c>
      <c r="C165">
        <v>1</v>
      </c>
      <c r="D165">
        <v>0</v>
      </c>
    </row>
    <row r="166" spans="1:4" x14ac:dyDescent="0.5">
      <c r="A166" t="s">
        <v>1222</v>
      </c>
      <c r="B166">
        <f t="shared" si="2"/>
        <v>1</v>
      </c>
      <c r="C166">
        <v>1</v>
      </c>
      <c r="D166">
        <v>0</v>
      </c>
    </row>
    <row r="167" spans="1:4" x14ac:dyDescent="0.5">
      <c r="A167" t="s">
        <v>1223</v>
      </c>
      <c r="B167">
        <f t="shared" si="2"/>
        <v>2.5</v>
      </c>
      <c r="C167">
        <v>2</v>
      </c>
      <c r="D167">
        <v>1</v>
      </c>
    </row>
    <row r="168" spans="1:4" x14ac:dyDescent="0.5">
      <c r="A168" t="s">
        <v>1004</v>
      </c>
      <c r="B168">
        <f t="shared" si="2"/>
        <v>1</v>
      </c>
      <c r="C168">
        <v>1</v>
      </c>
      <c r="D168">
        <v>0</v>
      </c>
    </row>
    <row r="169" spans="1:4" x14ac:dyDescent="0.5">
      <c r="A169" t="s">
        <v>1224</v>
      </c>
      <c r="B169">
        <f t="shared" si="2"/>
        <v>2.5</v>
      </c>
      <c r="C169">
        <v>2</v>
      </c>
      <c r="D169">
        <v>1</v>
      </c>
    </row>
    <row r="170" spans="1:4" x14ac:dyDescent="0.5">
      <c r="A170" t="s">
        <v>445</v>
      </c>
      <c r="B170">
        <f t="shared" si="2"/>
        <v>1</v>
      </c>
      <c r="C170">
        <v>1</v>
      </c>
      <c r="D170">
        <v>0</v>
      </c>
    </row>
    <row r="171" spans="1:4" x14ac:dyDescent="0.5">
      <c r="A171" t="s">
        <v>1225</v>
      </c>
      <c r="B171">
        <f t="shared" si="2"/>
        <v>1</v>
      </c>
      <c r="C171">
        <v>1</v>
      </c>
      <c r="D171">
        <v>0</v>
      </c>
    </row>
    <row r="172" spans="1:4" x14ac:dyDescent="0.5">
      <c r="A172" t="s">
        <v>831</v>
      </c>
      <c r="B172">
        <f t="shared" si="2"/>
        <v>2</v>
      </c>
      <c r="C172">
        <v>2</v>
      </c>
      <c r="D172">
        <v>0</v>
      </c>
    </row>
    <row r="173" spans="1:4" x14ac:dyDescent="0.5">
      <c r="A173" t="s">
        <v>324</v>
      </c>
      <c r="B173">
        <f t="shared" si="2"/>
        <v>3</v>
      </c>
      <c r="C173">
        <v>3</v>
      </c>
      <c r="D173">
        <v>0</v>
      </c>
    </row>
    <row r="174" spans="1:4" x14ac:dyDescent="0.5">
      <c r="A174" t="s">
        <v>643</v>
      </c>
      <c r="B174">
        <f t="shared" si="2"/>
        <v>2</v>
      </c>
      <c r="C174">
        <v>2</v>
      </c>
      <c r="D174">
        <v>0</v>
      </c>
    </row>
    <row r="175" spans="1:4" x14ac:dyDescent="0.5">
      <c r="A175" t="s">
        <v>1226</v>
      </c>
      <c r="B175">
        <f t="shared" si="2"/>
        <v>1.5</v>
      </c>
      <c r="C175">
        <v>1</v>
      </c>
      <c r="D175">
        <v>1</v>
      </c>
    </row>
    <row r="176" spans="1:4" x14ac:dyDescent="0.5">
      <c r="A176" t="s">
        <v>1227</v>
      </c>
      <c r="B176">
        <f t="shared" si="2"/>
        <v>2</v>
      </c>
      <c r="C176">
        <v>2</v>
      </c>
      <c r="D176">
        <v>0</v>
      </c>
    </row>
    <row r="177" spans="1:4" x14ac:dyDescent="0.5">
      <c r="A177" t="s">
        <v>988</v>
      </c>
      <c r="B177">
        <f t="shared" si="2"/>
        <v>1</v>
      </c>
      <c r="C177">
        <v>1</v>
      </c>
      <c r="D177">
        <v>0</v>
      </c>
    </row>
    <row r="178" spans="1:4" x14ac:dyDescent="0.5">
      <c r="A178" t="s">
        <v>1031</v>
      </c>
      <c r="B178">
        <f t="shared" si="2"/>
        <v>1</v>
      </c>
      <c r="C178">
        <v>1</v>
      </c>
      <c r="D178">
        <v>0</v>
      </c>
    </row>
    <row r="179" spans="1:4" x14ac:dyDescent="0.5">
      <c r="A179" t="s">
        <v>892</v>
      </c>
      <c r="B179">
        <f t="shared" si="2"/>
        <v>2.5</v>
      </c>
      <c r="C179">
        <v>2</v>
      </c>
      <c r="D179">
        <v>1</v>
      </c>
    </row>
    <row r="180" spans="1:4" x14ac:dyDescent="0.5">
      <c r="A180" t="s">
        <v>890</v>
      </c>
      <c r="B180">
        <f t="shared" si="2"/>
        <v>2</v>
      </c>
      <c r="C180">
        <v>2</v>
      </c>
      <c r="D180">
        <v>0</v>
      </c>
    </row>
    <row r="181" spans="1:4" x14ac:dyDescent="0.5">
      <c r="A181" t="s">
        <v>987</v>
      </c>
      <c r="B181">
        <f t="shared" si="2"/>
        <v>2.5</v>
      </c>
      <c r="C181">
        <v>2</v>
      </c>
      <c r="D181">
        <v>1</v>
      </c>
    </row>
    <row r="182" spans="1:4" x14ac:dyDescent="0.5">
      <c r="A182" t="s">
        <v>452</v>
      </c>
      <c r="B182">
        <f t="shared" si="2"/>
        <v>3.5</v>
      </c>
      <c r="C182">
        <v>3</v>
      </c>
      <c r="D182">
        <v>1</v>
      </c>
    </row>
    <row r="183" spans="1:4" x14ac:dyDescent="0.5">
      <c r="A183" t="s">
        <v>911</v>
      </c>
      <c r="B183">
        <f t="shared" si="2"/>
        <v>2</v>
      </c>
      <c r="C183">
        <v>2</v>
      </c>
      <c r="D183">
        <v>0</v>
      </c>
    </row>
    <row r="184" spans="1:4" x14ac:dyDescent="0.5">
      <c r="A184" t="s">
        <v>1229</v>
      </c>
      <c r="B184">
        <f t="shared" si="2"/>
        <v>2.5</v>
      </c>
      <c r="C184">
        <v>2</v>
      </c>
      <c r="D184">
        <v>1</v>
      </c>
    </row>
    <row r="185" spans="1:4" x14ac:dyDescent="0.5">
      <c r="A185" t="s">
        <v>1230</v>
      </c>
      <c r="B185">
        <f t="shared" si="2"/>
        <v>1</v>
      </c>
      <c r="C185">
        <v>1</v>
      </c>
      <c r="D185">
        <v>0</v>
      </c>
    </row>
    <row r="186" spans="1:4" x14ac:dyDescent="0.5">
      <c r="A186" t="s">
        <v>1231</v>
      </c>
      <c r="B186">
        <f t="shared" si="2"/>
        <v>1</v>
      </c>
      <c r="C186">
        <v>1</v>
      </c>
      <c r="D186">
        <v>0</v>
      </c>
    </row>
    <row r="187" spans="1:4" x14ac:dyDescent="0.5">
      <c r="A187" t="s">
        <v>42</v>
      </c>
      <c r="B187">
        <f t="shared" si="2"/>
        <v>1</v>
      </c>
      <c r="C187">
        <v>1</v>
      </c>
      <c r="D187">
        <v>0</v>
      </c>
    </row>
    <row r="188" spans="1:4" x14ac:dyDescent="0.5">
      <c r="A188" t="s">
        <v>1232</v>
      </c>
      <c r="B188">
        <f t="shared" si="2"/>
        <v>1</v>
      </c>
      <c r="C188">
        <v>1</v>
      </c>
      <c r="D188">
        <v>0</v>
      </c>
    </row>
    <row r="189" spans="1:4" x14ac:dyDescent="0.5">
      <c r="A189" t="s">
        <v>1233</v>
      </c>
      <c r="B189">
        <f t="shared" si="2"/>
        <v>1</v>
      </c>
      <c r="C189">
        <v>1</v>
      </c>
      <c r="D189">
        <v>0</v>
      </c>
    </row>
    <row r="190" spans="1:4" x14ac:dyDescent="0.5">
      <c r="A190" t="s">
        <v>1234</v>
      </c>
      <c r="B190">
        <f t="shared" si="2"/>
        <v>1</v>
      </c>
      <c r="C190">
        <v>1</v>
      </c>
      <c r="D190">
        <v>0</v>
      </c>
    </row>
    <row r="191" spans="1:4" x14ac:dyDescent="0.5">
      <c r="A191" t="s">
        <v>1235</v>
      </c>
      <c r="B191">
        <f t="shared" si="2"/>
        <v>1</v>
      </c>
      <c r="C191">
        <v>1</v>
      </c>
      <c r="D191">
        <v>0</v>
      </c>
    </row>
    <row r="192" spans="1:4" x14ac:dyDescent="0.5">
      <c r="A192" t="s">
        <v>1236</v>
      </c>
      <c r="B192">
        <f t="shared" si="2"/>
        <v>1</v>
      </c>
      <c r="C192">
        <v>1</v>
      </c>
      <c r="D192">
        <v>0</v>
      </c>
    </row>
    <row r="193" spans="1:4" x14ac:dyDescent="0.5">
      <c r="A193" t="s">
        <v>1237</v>
      </c>
      <c r="B193">
        <f t="shared" si="2"/>
        <v>2</v>
      </c>
      <c r="C193">
        <v>2</v>
      </c>
      <c r="D193">
        <v>0</v>
      </c>
    </row>
    <row r="194" spans="1:4" x14ac:dyDescent="0.5">
      <c r="A194" t="s">
        <v>715</v>
      </c>
      <c r="B194">
        <f t="shared" ref="B194:B257" si="3">SUM(C194 + 1/2*D194)</f>
        <v>1</v>
      </c>
      <c r="C194">
        <v>1</v>
      </c>
      <c r="D194">
        <v>0</v>
      </c>
    </row>
    <row r="195" spans="1:4" x14ac:dyDescent="0.5">
      <c r="A195" t="s">
        <v>713</v>
      </c>
      <c r="B195">
        <f t="shared" si="3"/>
        <v>2.5</v>
      </c>
      <c r="C195">
        <v>2</v>
      </c>
      <c r="D195">
        <v>1</v>
      </c>
    </row>
    <row r="196" spans="1:4" x14ac:dyDescent="0.5">
      <c r="A196" t="s">
        <v>411</v>
      </c>
      <c r="B196">
        <f t="shared" si="3"/>
        <v>3.5</v>
      </c>
      <c r="C196">
        <v>3</v>
      </c>
      <c r="D196">
        <v>1</v>
      </c>
    </row>
    <row r="197" spans="1:4" x14ac:dyDescent="0.5">
      <c r="A197" t="s">
        <v>1238</v>
      </c>
      <c r="B197">
        <f t="shared" si="3"/>
        <v>2.5</v>
      </c>
      <c r="C197">
        <v>2</v>
      </c>
      <c r="D197">
        <v>1</v>
      </c>
    </row>
    <row r="198" spans="1:4" x14ac:dyDescent="0.5">
      <c r="A198" t="s">
        <v>1239</v>
      </c>
      <c r="B198">
        <f t="shared" si="3"/>
        <v>2.5</v>
      </c>
      <c r="C198">
        <v>2</v>
      </c>
      <c r="D198">
        <v>1</v>
      </c>
    </row>
    <row r="199" spans="1:4" x14ac:dyDescent="0.5">
      <c r="A199" t="s">
        <v>1240</v>
      </c>
      <c r="B199">
        <f t="shared" si="3"/>
        <v>4</v>
      </c>
      <c r="C199">
        <v>3</v>
      </c>
      <c r="D199">
        <v>2</v>
      </c>
    </row>
    <row r="200" spans="1:4" x14ac:dyDescent="0.5">
      <c r="A200" t="s">
        <v>1241</v>
      </c>
      <c r="B200">
        <f t="shared" si="3"/>
        <v>2.5</v>
      </c>
      <c r="C200">
        <v>2</v>
      </c>
      <c r="D200">
        <v>1</v>
      </c>
    </row>
    <row r="201" spans="1:4" x14ac:dyDescent="0.5">
      <c r="A201" t="s">
        <v>216</v>
      </c>
      <c r="B201">
        <f t="shared" si="3"/>
        <v>2</v>
      </c>
      <c r="C201">
        <v>2</v>
      </c>
      <c r="D201">
        <v>0</v>
      </c>
    </row>
    <row r="202" spans="1:4" x14ac:dyDescent="0.5">
      <c r="A202" t="s">
        <v>1242</v>
      </c>
      <c r="B202">
        <f t="shared" si="3"/>
        <v>1</v>
      </c>
      <c r="C202">
        <v>1</v>
      </c>
      <c r="D202">
        <v>0</v>
      </c>
    </row>
    <row r="203" spans="1:4" x14ac:dyDescent="0.5">
      <c r="A203" t="s">
        <v>1243</v>
      </c>
      <c r="B203">
        <f t="shared" si="3"/>
        <v>2.5</v>
      </c>
      <c r="C203">
        <v>2</v>
      </c>
      <c r="D203">
        <v>1</v>
      </c>
    </row>
    <row r="204" spans="1:4" x14ac:dyDescent="0.5">
      <c r="A204" t="s">
        <v>774</v>
      </c>
      <c r="B204">
        <f t="shared" si="3"/>
        <v>1</v>
      </c>
      <c r="C204">
        <v>1</v>
      </c>
      <c r="D204">
        <v>0</v>
      </c>
    </row>
    <row r="205" spans="1:4" x14ac:dyDescent="0.5">
      <c r="A205" t="s">
        <v>530</v>
      </c>
      <c r="B205">
        <f t="shared" si="3"/>
        <v>2</v>
      </c>
      <c r="C205">
        <v>2</v>
      </c>
      <c r="D205">
        <v>0</v>
      </c>
    </row>
    <row r="206" spans="1:4" x14ac:dyDescent="0.5">
      <c r="A206" t="s">
        <v>930</v>
      </c>
      <c r="B206">
        <f t="shared" si="3"/>
        <v>1</v>
      </c>
      <c r="C206">
        <v>1</v>
      </c>
      <c r="D206">
        <v>0</v>
      </c>
    </row>
    <row r="207" spans="1:4" x14ac:dyDescent="0.5">
      <c r="A207" t="s">
        <v>1245</v>
      </c>
      <c r="B207">
        <f t="shared" si="3"/>
        <v>1</v>
      </c>
      <c r="C207">
        <v>1</v>
      </c>
      <c r="D207">
        <v>0</v>
      </c>
    </row>
    <row r="208" spans="1:4" x14ac:dyDescent="0.5">
      <c r="A208" t="s">
        <v>246</v>
      </c>
      <c r="B208">
        <f t="shared" si="3"/>
        <v>1.5</v>
      </c>
      <c r="C208">
        <v>1</v>
      </c>
      <c r="D208">
        <v>1</v>
      </c>
    </row>
    <row r="209" spans="1:4" x14ac:dyDescent="0.5">
      <c r="A209" t="s">
        <v>937</v>
      </c>
      <c r="B209" t="e">
        <f t="shared" si="3"/>
        <v>#VALUE!</v>
      </c>
      <c r="C209" t="s">
        <v>2077</v>
      </c>
      <c r="D209">
        <v>1</v>
      </c>
    </row>
    <row r="210" spans="1:4" x14ac:dyDescent="0.5">
      <c r="A210" t="s">
        <v>1246</v>
      </c>
      <c r="B210">
        <f t="shared" si="3"/>
        <v>2</v>
      </c>
      <c r="C210">
        <v>2</v>
      </c>
      <c r="D210">
        <v>0</v>
      </c>
    </row>
    <row r="211" spans="1:4" x14ac:dyDescent="0.5">
      <c r="A211" t="s">
        <v>1247</v>
      </c>
      <c r="B211">
        <f t="shared" si="3"/>
        <v>1</v>
      </c>
      <c r="C211">
        <v>1</v>
      </c>
      <c r="D211">
        <v>0</v>
      </c>
    </row>
    <row r="212" spans="1:4" x14ac:dyDescent="0.5">
      <c r="A212" t="s">
        <v>1248</v>
      </c>
      <c r="B212" t="e">
        <f t="shared" si="3"/>
        <v>#VALUE!</v>
      </c>
      <c r="C212" t="s">
        <v>2077</v>
      </c>
      <c r="D212">
        <v>1</v>
      </c>
    </row>
    <row r="213" spans="1:4" x14ac:dyDescent="0.5">
      <c r="A213" t="s">
        <v>1250</v>
      </c>
      <c r="B213">
        <f t="shared" si="3"/>
        <v>3.5</v>
      </c>
      <c r="C213">
        <v>3</v>
      </c>
      <c r="D213">
        <v>1</v>
      </c>
    </row>
    <row r="214" spans="1:4" x14ac:dyDescent="0.5">
      <c r="A214" t="s">
        <v>1251</v>
      </c>
      <c r="B214">
        <f t="shared" si="3"/>
        <v>3.5</v>
      </c>
      <c r="C214">
        <v>3</v>
      </c>
      <c r="D214">
        <v>1</v>
      </c>
    </row>
    <row r="215" spans="1:4" x14ac:dyDescent="0.5">
      <c r="A215" t="s">
        <v>1252</v>
      </c>
      <c r="B215">
        <f t="shared" si="3"/>
        <v>2</v>
      </c>
      <c r="C215">
        <v>2</v>
      </c>
      <c r="D215">
        <v>0</v>
      </c>
    </row>
    <row r="216" spans="1:4" x14ac:dyDescent="0.5">
      <c r="A216" t="s">
        <v>779</v>
      </c>
      <c r="B216">
        <f t="shared" si="3"/>
        <v>2</v>
      </c>
      <c r="C216">
        <v>2</v>
      </c>
      <c r="D216">
        <v>0</v>
      </c>
    </row>
    <row r="217" spans="1:4" x14ac:dyDescent="0.5">
      <c r="A217" t="s">
        <v>307</v>
      </c>
      <c r="B217">
        <f t="shared" si="3"/>
        <v>2</v>
      </c>
      <c r="C217">
        <v>2</v>
      </c>
      <c r="D217">
        <v>0</v>
      </c>
    </row>
    <row r="218" spans="1:4" x14ac:dyDescent="0.5">
      <c r="A218" t="s">
        <v>515</v>
      </c>
      <c r="B218">
        <f t="shared" si="3"/>
        <v>3.5</v>
      </c>
      <c r="C218">
        <v>3</v>
      </c>
      <c r="D218">
        <v>1</v>
      </c>
    </row>
    <row r="219" spans="1:4" x14ac:dyDescent="0.5">
      <c r="A219" t="s">
        <v>1091</v>
      </c>
      <c r="B219">
        <f t="shared" si="3"/>
        <v>3</v>
      </c>
      <c r="C219">
        <v>3</v>
      </c>
      <c r="D219">
        <v>0</v>
      </c>
    </row>
    <row r="220" spans="1:4" x14ac:dyDescent="0.5">
      <c r="A220" t="s">
        <v>109</v>
      </c>
      <c r="B220">
        <f t="shared" si="3"/>
        <v>1</v>
      </c>
      <c r="C220">
        <v>1</v>
      </c>
      <c r="D220">
        <v>0</v>
      </c>
    </row>
    <row r="221" spans="1:4" x14ac:dyDescent="0.5">
      <c r="A221" t="s">
        <v>97</v>
      </c>
      <c r="B221">
        <f t="shared" si="3"/>
        <v>2</v>
      </c>
      <c r="C221">
        <v>2</v>
      </c>
      <c r="D221">
        <v>0</v>
      </c>
    </row>
    <row r="222" spans="1:4" x14ac:dyDescent="0.5">
      <c r="A222" t="s">
        <v>85</v>
      </c>
      <c r="B222">
        <f t="shared" si="3"/>
        <v>1</v>
      </c>
      <c r="C222">
        <v>1</v>
      </c>
      <c r="D222">
        <v>0</v>
      </c>
    </row>
    <row r="223" spans="1:4" x14ac:dyDescent="0.5">
      <c r="A223" t="s">
        <v>185</v>
      </c>
      <c r="B223">
        <f t="shared" si="3"/>
        <v>1</v>
      </c>
      <c r="C223">
        <v>1</v>
      </c>
      <c r="D223">
        <v>0</v>
      </c>
    </row>
    <row r="224" spans="1:4" x14ac:dyDescent="0.5">
      <c r="A224" t="s">
        <v>1253</v>
      </c>
      <c r="B224">
        <f t="shared" si="3"/>
        <v>3.5</v>
      </c>
      <c r="C224">
        <v>3</v>
      </c>
      <c r="D224">
        <v>1</v>
      </c>
    </row>
    <row r="225" spans="1:4" x14ac:dyDescent="0.5">
      <c r="A225" t="s">
        <v>667</v>
      </c>
      <c r="B225">
        <f t="shared" si="3"/>
        <v>2.5</v>
      </c>
      <c r="C225">
        <v>2</v>
      </c>
      <c r="D225">
        <v>1</v>
      </c>
    </row>
    <row r="226" spans="1:4" x14ac:dyDescent="0.5">
      <c r="A226" t="s">
        <v>1254</v>
      </c>
      <c r="B226">
        <f t="shared" si="3"/>
        <v>3</v>
      </c>
      <c r="C226">
        <v>3</v>
      </c>
      <c r="D226">
        <v>0</v>
      </c>
    </row>
    <row r="227" spans="1:4" x14ac:dyDescent="0.5">
      <c r="A227" t="s">
        <v>1255</v>
      </c>
      <c r="B227">
        <f t="shared" si="3"/>
        <v>2</v>
      </c>
      <c r="C227">
        <v>2</v>
      </c>
      <c r="D227">
        <v>0</v>
      </c>
    </row>
    <row r="228" spans="1:4" x14ac:dyDescent="0.5">
      <c r="A228" t="s">
        <v>439</v>
      </c>
      <c r="B228">
        <f t="shared" si="3"/>
        <v>1</v>
      </c>
      <c r="C228">
        <v>1</v>
      </c>
      <c r="D228">
        <v>0</v>
      </c>
    </row>
    <row r="229" spans="1:4" x14ac:dyDescent="0.5">
      <c r="A229" t="s">
        <v>556</v>
      </c>
      <c r="B229">
        <f t="shared" si="3"/>
        <v>3</v>
      </c>
      <c r="C229">
        <v>3</v>
      </c>
      <c r="D229">
        <v>0</v>
      </c>
    </row>
    <row r="230" spans="1:4" x14ac:dyDescent="0.5">
      <c r="A230" t="s">
        <v>1256</v>
      </c>
      <c r="B230">
        <f t="shared" si="3"/>
        <v>1</v>
      </c>
      <c r="C230">
        <v>1</v>
      </c>
      <c r="D230">
        <v>0</v>
      </c>
    </row>
    <row r="231" spans="1:4" x14ac:dyDescent="0.5">
      <c r="A231" t="s">
        <v>1257</v>
      </c>
      <c r="B231">
        <f t="shared" si="3"/>
        <v>2</v>
      </c>
      <c r="C231">
        <v>2</v>
      </c>
      <c r="D231">
        <v>0</v>
      </c>
    </row>
    <row r="232" spans="1:4" x14ac:dyDescent="0.5">
      <c r="A232" t="s">
        <v>1258</v>
      </c>
      <c r="B232">
        <f t="shared" si="3"/>
        <v>2.5</v>
      </c>
      <c r="C232">
        <v>2</v>
      </c>
      <c r="D232">
        <v>1</v>
      </c>
    </row>
    <row r="233" spans="1:4" x14ac:dyDescent="0.5">
      <c r="A233" t="s">
        <v>1037</v>
      </c>
      <c r="B233">
        <f t="shared" si="3"/>
        <v>3.5</v>
      </c>
      <c r="C233">
        <v>3</v>
      </c>
      <c r="D233">
        <v>1</v>
      </c>
    </row>
    <row r="234" spans="1:4" x14ac:dyDescent="0.5">
      <c r="A234" t="s">
        <v>1259</v>
      </c>
      <c r="B234">
        <f t="shared" si="3"/>
        <v>2</v>
      </c>
      <c r="C234">
        <v>2</v>
      </c>
      <c r="D234">
        <v>0</v>
      </c>
    </row>
    <row r="235" spans="1:4" x14ac:dyDescent="0.5">
      <c r="A235" t="s">
        <v>1260</v>
      </c>
      <c r="B235">
        <f t="shared" si="3"/>
        <v>1</v>
      </c>
      <c r="C235">
        <v>1</v>
      </c>
      <c r="D235">
        <v>0</v>
      </c>
    </row>
    <row r="236" spans="1:4" x14ac:dyDescent="0.5">
      <c r="A236" t="s">
        <v>1015</v>
      </c>
      <c r="B236">
        <f t="shared" si="3"/>
        <v>1</v>
      </c>
      <c r="C236">
        <v>1</v>
      </c>
      <c r="D236">
        <v>0</v>
      </c>
    </row>
    <row r="237" spans="1:4" x14ac:dyDescent="0.5">
      <c r="A237" t="s">
        <v>1025</v>
      </c>
      <c r="B237">
        <f t="shared" si="3"/>
        <v>1</v>
      </c>
      <c r="C237">
        <v>1</v>
      </c>
      <c r="D237">
        <v>0</v>
      </c>
    </row>
    <row r="238" spans="1:4" x14ac:dyDescent="0.5">
      <c r="A238" t="s">
        <v>1261</v>
      </c>
      <c r="B238">
        <f t="shared" si="3"/>
        <v>1</v>
      </c>
      <c r="C238">
        <v>1</v>
      </c>
      <c r="D238">
        <v>0</v>
      </c>
    </row>
    <row r="239" spans="1:4" x14ac:dyDescent="0.5">
      <c r="A239" t="s">
        <v>1023</v>
      </c>
      <c r="B239">
        <f t="shared" si="3"/>
        <v>1</v>
      </c>
      <c r="C239">
        <v>1</v>
      </c>
      <c r="D239">
        <v>0</v>
      </c>
    </row>
    <row r="240" spans="1:4" x14ac:dyDescent="0.5">
      <c r="A240" t="s">
        <v>1013</v>
      </c>
      <c r="B240">
        <f t="shared" si="3"/>
        <v>1</v>
      </c>
      <c r="C240">
        <v>1</v>
      </c>
      <c r="D240">
        <v>0</v>
      </c>
    </row>
    <row r="241" spans="1:4" x14ac:dyDescent="0.5">
      <c r="A241" t="s">
        <v>1027</v>
      </c>
      <c r="B241">
        <f t="shared" si="3"/>
        <v>2</v>
      </c>
      <c r="C241">
        <v>2</v>
      </c>
      <c r="D241">
        <v>0</v>
      </c>
    </row>
    <row r="242" spans="1:4" x14ac:dyDescent="0.5">
      <c r="A242" t="s">
        <v>1022</v>
      </c>
      <c r="B242">
        <f t="shared" si="3"/>
        <v>1.5</v>
      </c>
      <c r="C242">
        <v>1</v>
      </c>
      <c r="D242">
        <v>1</v>
      </c>
    </row>
    <row r="243" spans="1:4" x14ac:dyDescent="0.5">
      <c r="A243" t="s">
        <v>1026</v>
      </c>
      <c r="B243">
        <f t="shared" si="3"/>
        <v>1</v>
      </c>
      <c r="C243">
        <v>1</v>
      </c>
      <c r="D243">
        <v>0</v>
      </c>
    </row>
    <row r="244" spans="1:4" x14ac:dyDescent="0.5">
      <c r="A244" t="s">
        <v>1020</v>
      </c>
      <c r="B244">
        <f t="shared" si="3"/>
        <v>2</v>
      </c>
      <c r="C244">
        <v>2</v>
      </c>
      <c r="D244">
        <v>0</v>
      </c>
    </row>
    <row r="245" spans="1:4" x14ac:dyDescent="0.5">
      <c r="A245" t="s">
        <v>1018</v>
      </c>
      <c r="B245">
        <f t="shared" si="3"/>
        <v>1</v>
      </c>
      <c r="C245">
        <v>1</v>
      </c>
      <c r="D245">
        <v>0</v>
      </c>
    </row>
    <row r="246" spans="1:4" x14ac:dyDescent="0.5">
      <c r="A246" t="s">
        <v>1024</v>
      </c>
      <c r="B246">
        <f t="shared" si="3"/>
        <v>1</v>
      </c>
      <c r="C246">
        <v>1</v>
      </c>
      <c r="D246">
        <v>0</v>
      </c>
    </row>
    <row r="247" spans="1:4" x14ac:dyDescent="0.5">
      <c r="A247" t="s">
        <v>1262</v>
      </c>
      <c r="B247">
        <f t="shared" si="3"/>
        <v>3.5</v>
      </c>
      <c r="C247">
        <v>3</v>
      </c>
      <c r="D247">
        <v>1</v>
      </c>
    </row>
    <row r="248" spans="1:4" x14ac:dyDescent="0.5">
      <c r="A248" t="s">
        <v>885</v>
      </c>
      <c r="B248">
        <f t="shared" si="3"/>
        <v>1</v>
      </c>
      <c r="C248">
        <v>1</v>
      </c>
      <c r="D248">
        <v>0</v>
      </c>
    </row>
    <row r="249" spans="1:4" x14ac:dyDescent="0.5">
      <c r="A249" t="s">
        <v>882</v>
      </c>
      <c r="B249">
        <f t="shared" si="3"/>
        <v>1</v>
      </c>
      <c r="C249">
        <v>1</v>
      </c>
      <c r="D249">
        <v>0</v>
      </c>
    </row>
    <row r="250" spans="1:4" x14ac:dyDescent="0.5">
      <c r="A250" t="s">
        <v>1263</v>
      </c>
      <c r="B250">
        <f t="shared" si="3"/>
        <v>1</v>
      </c>
      <c r="C250">
        <v>1</v>
      </c>
      <c r="D250">
        <v>0</v>
      </c>
    </row>
    <row r="251" spans="1:4" x14ac:dyDescent="0.5">
      <c r="A251" t="s">
        <v>1265</v>
      </c>
      <c r="B251">
        <f t="shared" si="3"/>
        <v>1</v>
      </c>
      <c r="C251">
        <v>1</v>
      </c>
      <c r="D251">
        <v>0</v>
      </c>
    </row>
    <row r="252" spans="1:4" x14ac:dyDescent="0.5">
      <c r="A252" t="s">
        <v>1266</v>
      </c>
      <c r="B252">
        <f t="shared" si="3"/>
        <v>1</v>
      </c>
      <c r="C252">
        <v>1</v>
      </c>
      <c r="D252">
        <v>0</v>
      </c>
    </row>
    <row r="253" spans="1:4" x14ac:dyDescent="0.5">
      <c r="A253" t="s">
        <v>1267</v>
      </c>
      <c r="B253">
        <f t="shared" si="3"/>
        <v>1</v>
      </c>
      <c r="C253">
        <v>1</v>
      </c>
      <c r="D253">
        <v>0</v>
      </c>
    </row>
    <row r="254" spans="1:4" x14ac:dyDescent="0.5">
      <c r="A254" t="s">
        <v>1268</v>
      </c>
      <c r="B254">
        <f t="shared" si="3"/>
        <v>1</v>
      </c>
      <c r="C254">
        <v>1</v>
      </c>
      <c r="D254">
        <v>0</v>
      </c>
    </row>
    <row r="255" spans="1:4" x14ac:dyDescent="0.5">
      <c r="A255" t="s">
        <v>1269</v>
      </c>
      <c r="B255">
        <f t="shared" si="3"/>
        <v>1</v>
      </c>
      <c r="C255">
        <v>1</v>
      </c>
      <c r="D255">
        <v>0</v>
      </c>
    </row>
    <row r="256" spans="1:4" x14ac:dyDescent="0.5">
      <c r="A256" t="s">
        <v>1270</v>
      </c>
      <c r="B256">
        <f t="shared" si="3"/>
        <v>1</v>
      </c>
      <c r="C256">
        <v>1</v>
      </c>
      <c r="D256">
        <v>0</v>
      </c>
    </row>
    <row r="257" spans="1:4" x14ac:dyDescent="0.5">
      <c r="A257" t="s">
        <v>1271</v>
      </c>
      <c r="B257">
        <f t="shared" si="3"/>
        <v>1</v>
      </c>
      <c r="C257">
        <v>1</v>
      </c>
      <c r="D257">
        <v>0</v>
      </c>
    </row>
    <row r="258" spans="1:4" x14ac:dyDescent="0.5">
      <c r="A258" t="s">
        <v>1272</v>
      </c>
      <c r="B258">
        <f t="shared" ref="B258:B321" si="4">SUM(C258 + 1/2*D258)</f>
        <v>1</v>
      </c>
      <c r="C258">
        <v>1</v>
      </c>
      <c r="D258">
        <v>0</v>
      </c>
    </row>
    <row r="259" spans="1:4" x14ac:dyDescent="0.5">
      <c r="A259" t="s">
        <v>1274</v>
      </c>
      <c r="B259">
        <f t="shared" si="4"/>
        <v>1</v>
      </c>
      <c r="C259">
        <v>1</v>
      </c>
      <c r="D259">
        <v>0</v>
      </c>
    </row>
    <row r="260" spans="1:4" x14ac:dyDescent="0.5">
      <c r="A260" t="s">
        <v>1275</v>
      </c>
      <c r="B260">
        <f t="shared" si="4"/>
        <v>1</v>
      </c>
      <c r="C260">
        <v>1</v>
      </c>
      <c r="D260">
        <v>0</v>
      </c>
    </row>
    <row r="261" spans="1:4" x14ac:dyDescent="0.5">
      <c r="A261" t="s">
        <v>1276</v>
      </c>
      <c r="B261">
        <f t="shared" si="4"/>
        <v>1</v>
      </c>
      <c r="C261">
        <v>1</v>
      </c>
      <c r="D261">
        <v>0</v>
      </c>
    </row>
    <row r="262" spans="1:4" x14ac:dyDescent="0.5">
      <c r="A262" t="s">
        <v>1277</v>
      </c>
      <c r="B262">
        <f t="shared" si="4"/>
        <v>1</v>
      </c>
      <c r="C262">
        <v>1</v>
      </c>
      <c r="D262">
        <v>0</v>
      </c>
    </row>
    <row r="263" spans="1:4" x14ac:dyDescent="0.5">
      <c r="A263" t="s">
        <v>1279</v>
      </c>
      <c r="B263">
        <f t="shared" si="4"/>
        <v>1</v>
      </c>
      <c r="C263">
        <v>1</v>
      </c>
      <c r="D263">
        <v>0</v>
      </c>
    </row>
    <row r="264" spans="1:4" x14ac:dyDescent="0.5">
      <c r="A264" t="s">
        <v>315</v>
      </c>
      <c r="B264">
        <f t="shared" si="4"/>
        <v>3.5</v>
      </c>
      <c r="C264">
        <v>3</v>
      </c>
      <c r="D264">
        <v>1</v>
      </c>
    </row>
    <row r="265" spans="1:4" x14ac:dyDescent="0.5">
      <c r="A265" t="s">
        <v>1280</v>
      </c>
      <c r="B265" t="e">
        <f t="shared" si="4"/>
        <v>#VALUE!</v>
      </c>
      <c r="C265" t="s">
        <v>2077</v>
      </c>
      <c r="D265">
        <v>0</v>
      </c>
    </row>
    <row r="266" spans="1:4" x14ac:dyDescent="0.5">
      <c r="A266" t="s">
        <v>1281</v>
      </c>
      <c r="B266" t="e">
        <f t="shared" si="4"/>
        <v>#VALUE!</v>
      </c>
      <c r="C266" t="s">
        <v>2077</v>
      </c>
      <c r="D266">
        <v>0</v>
      </c>
    </row>
    <row r="267" spans="1:4" x14ac:dyDescent="0.5">
      <c r="A267" t="s">
        <v>1282</v>
      </c>
      <c r="B267">
        <f t="shared" si="4"/>
        <v>1</v>
      </c>
      <c r="C267">
        <v>1</v>
      </c>
      <c r="D267">
        <v>0</v>
      </c>
    </row>
    <row r="268" spans="1:4" x14ac:dyDescent="0.5">
      <c r="A268" t="s">
        <v>1283</v>
      </c>
      <c r="B268">
        <f t="shared" si="4"/>
        <v>3.5</v>
      </c>
      <c r="C268">
        <v>3</v>
      </c>
      <c r="D268">
        <v>1</v>
      </c>
    </row>
    <row r="269" spans="1:4" x14ac:dyDescent="0.5">
      <c r="A269" t="s">
        <v>879</v>
      </c>
      <c r="B269">
        <f t="shared" si="4"/>
        <v>1</v>
      </c>
      <c r="C269">
        <v>1</v>
      </c>
      <c r="D269">
        <v>0</v>
      </c>
    </row>
    <row r="270" spans="1:4" x14ac:dyDescent="0.5">
      <c r="A270" t="s">
        <v>875</v>
      </c>
      <c r="B270">
        <f t="shared" si="4"/>
        <v>1</v>
      </c>
      <c r="C270">
        <v>1</v>
      </c>
      <c r="D270">
        <v>0</v>
      </c>
    </row>
    <row r="271" spans="1:4" x14ac:dyDescent="0.5">
      <c r="A271" t="s">
        <v>1284</v>
      </c>
      <c r="B271">
        <f t="shared" si="4"/>
        <v>2</v>
      </c>
      <c r="C271">
        <v>2</v>
      </c>
      <c r="D271">
        <v>0</v>
      </c>
    </row>
    <row r="272" spans="1:4" x14ac:dyDescent="0.5">
      <c r="A272" t="s">
        <v>1285</v>
      </c>
      <c r="B272">
        <f t="shared" si="4"/>
        <v>2.5</v>
      </c>
      <c r="C272">
        <v>2</v>
      </c>
      <c r="D272">
        <v>1</v>
      </c>
    </row>
    <row r="273" spans="1:4" x14ac:dyDescent="0.5">
      <c r="A273" t="s">
        <v>1286</v>
      </c>
      <c r="B273">
        <f t="shared" si="4"/>
        <v>2.5</v>
      </c>
      <c r="C273">
        <v>2</v>
      </c>
      <c r="D273">
        <v>1</v>
      </c>
    </row>
    <row r="274" spans="1:4" x14ac:dyDescent="0.5">
      <c r="A274" t="s">
        <v>1099</v>
      </c>
      <c r="B274">
        <f t="shared" si="4"/>
        <v>1</v>
      </c>
      <c r="C274">
        <v>1</v>
      </c>
      <c r="D274">
        <v>0</v>
      </c>
    </row>
    <row r="275" spans="1:4" x14ac:dyDescent="0.5">
      <c r="A275" t="s">
        <v>1287</v>
      </c>
      <c r="B275">
        <f t="shared" si="4"/>
        <v>3.5</v>
      </c>
      <c r="C275">
        <v>3</v>
      </c>
      <c r="D275">
        <v>1</v>
      </c>
    </row>
    <row r="276" spans="1:4" x14ac:dyDescent="0.5">
      <c r="A276" t="s">
        <v>1288</v>
      </c>
      <c r="B276">
        <f t="shared" si="4"/>
        <v>1.5</v>
      </c>
      <c r="C276">
        <v>1</v>
      </c>
      <c r="D276">
        <v>1</v>
      </c>
    </row>
    <row r="277" spans="1:4" x14ac:dyDescent="0.5">
      <c r="A277" t="s">
        <v>1289</v>
      </c>
      <c r="B277">
        <f t="shared" si="4"/>
        <v>1</v>
      </c>
      <c r="C277">
        <v>1</v>
      </c>
      <c r="D277">
        <v>0</v>
      </c>
    </row>
    <row r="278" spans="1:4" x14ac:dyDescent="0.5">
      <c r="A278" t="s">
        <v>1290</v>
      </c>
      <c r="B278">
        <f t="shared" si="4"/>
        <v>3.5</v>
      </c>
      <c r="C278">
        <v>3</v>
      </c>
      <c r="D278">
        <v>1</v>
      </c>
    </row>
    <row r="279" spans="1:4" x14ac:dyDescent="0.5">
      <c r="A279" t="s">
        <v>1291</v>
      </c>
      <c r="B279">
        <f t="shared" si="4"/>
        <v>1.5</v>
      </c>
      <c r="C279">
        <v>1</v>
      </c>
      <c r="D279">
        <v>1</v>
      </c>
    </row>
    <row r="280" spans="1:4" x14ac:dyDescent="0.5">
      <c r="A280" t="s">
        <v>1292</v>
      </c>
      <c r="B280">
        <f t="shared" si="4"/>
        <v>2</v>
      </c>
      <c r="C280">
        <v>2</v>
      </c>
      <c r="D280">
        <v>0</v>
      </c>
    </row>
    <row r="281" spans="1:4" x14ac:dyDescent="0.5">
      <c r="A281" t="s">
        <v>1293</v>
      </c>
      <c r="B281">
        <f t="shared" si="4"/>
        <v>3</v>
      </c>
      <c r="C281">
        <v>2</v>
      </c>
      <c r="D281">
        <v>2</v>
      </c>
    </row>
    <row r="282" spans="1:4" x14ac:dyDescent="0.5">
      <c r="A282" t="s">
        <v>971</v>
      </c>
      <c r="B282">
        <f t="shared" si="4"/>
        <v>1</v>
      </c>
      <c r="C282">
        <v>1</v>
      </c>
      <c r="D282">
        <v>0</v>
      </c>
    </row>
    <row r="283" spans="1:4" x14ac:dyDescent="0.5">
      <c r="A283" t="s">
        <v>727</v>
      </c>
      <c r="B283">
        <f t="shared" si="4"/>
        <v>3.5</v>
      </c>
      <c r="C283">
        <v>3</v>
      </c>
      <c r="D283">
        <v>1</v>
      </c>
    </row>
    <row r="284" spans="1:4" x14ac:dyDescent="0.5">
      <c r="A284" t="s">
        <v>1294</v>
      </c>
      <c r="B284">
        <f t="shared" si="4"/>
        <v>2.5</v>
      </c>
      <c r="C284">
        <v>2</v>
      </c>
      <c r="D284">
        <v>1</v>
      </c>
    </row>
    <row r="285" spans="1:4" x14ac:dyDescent="0.5">
      <c r="A285" t="s">
        <v>1295</v>
      </c>
      <c r="B285">
        <f t="shared" si="4"/>
        <v>1.5</v>
      </c>
      <c r="C285">
        <v>1</v>
      </c>
      <c r="D285">
        <v>1</v>
      </c>
    </row>
    <row r="286" spans="1:4" x14ac:dyDescent="0.5">
      <c r="A286" t="s">
        <v>1296</v>
      </c>
      <c r="B286">
        <f t="shared" si="4"/>
        <v>2.5</v>
      </c>
      <c r="C286">
        <v>2</v>
      </c>
      <c r="D286">
        <v>1</v>
      </c>
    </row>
    <row r="287" spans="1:4" x14ac:dyDescent="0.5">
      <c r="A287" t="s">
        <v>1045</v>
      </c>
      <c r="B287">
        <f t="shared" si="4"/>
        <v>2.5</v>
      </c>
      <c r="C287">
        <v>2</v>
      </c>
      <c r="D287">
        <v>1</v>
      </c>
    </row>
    <row r="288" spans="1:4" x14ac:dyDescent="0.5">
      <c r="A288" t="s">
        <v>370</v>
      </c>
      <c r="B288">
        <f t="shared" si="4"/>
        <v>3.5</v>
      </c>
      <c r="C288">
        <v>3</v>
      </c>
      <c r="D288">
        <v>1</v>
      </c>
    </row>
    <row r="289" spans="1:4" x14ac:dyDescent="0.5">
      <c r="A289" t="s">
        <v>994</v>
      </c>
      <c r="B289">
        <f t="shared" si="4"/>
        <v>3</v>
      </c>
      <c r="C289">
        <v>3</v>
      </c>
      <c r="D289">
        <v>0</v>
      </c>
    </row>
    <row r="290" spans="1:4" x14ac:dyDescent="0.5">
      <c r="A290" t="s">
        <v>1297</v>
      </c>
      <c r="B290">
        <f t="shared" si="4"/>
        <v>1</v>
      </c>
      <c r="C290">
        <v>1</v>
      </c>
      <c r="D290">
        <v>0</v>
      </c>
    </row>
    <row r="291" spans="1:4" x14ac:dyDescent="0.5">
      <c r="A291" t="s">
        <v>202</v>
      </c>
      <c r="B291" t="e">
        <f t="shared" si="4"/>
        <v>#VALUE!</v>
      </c>
      <c r="C291" t="s">
        <v>2077</v>
      </c>
      <c r="D291">
        <v>1</v>
      </c>
    </row>
    <row r="292" spans="1:4" x14ac:dyDescent="0.5">
      <c r="A292" t="s">
        <v>1298</v>
      </c>
      <c r="B292">
        <f t="shared" si="4"/>
        <v>1</v>
      </c>
      <c r="C292">
        <v>1</v>
      </c>
      <c r="D292">
        <v>0</v>
      </c>
    </row>
    <row r="293" spans="1:4" x14ac:dyDescent="0.5">
      <c r="A293" t="s">
        <v>593</v>
      </c>
      <c r="B293">
        <f t="shared" si="4"/>
        <v>1</v>
      </c>
      <c r="C293">
        <v>1</v>
      </c>
      <c r="D293">
        <v>0</v>
      </c>
    </row>
    <row r="294" spans="1:4" x14ac:dyDescent="0.5">
      <c r="A294" t="s">
        <v>1299</v>
      </c>
      <c r="B294">
        <f t="shared" si="4"/>
        <v>1</v>
      </c>
      <c r="C294">
        <v>1</v>
      </c>
      <c r="D294">
        <v>0</v>
      </c>
    </row>
    <row r="295" spans="1:4" x14ac:dyDescent="0.5">
      <c r="A295" t="s">
        <v>1300</v>
      </c>
      <c r="B295">
        <f t="shared" si="4"/>
        <v>1</v>
      </c>
      <c r="C295">
        <v>1</v>
      </c>
      <c r="D295">
        <v>0</v>
      </c>
    </row>
    <row r="296" spans="1:4" x14ac:dyDescent="0.5">
      <c r="A296" t="s">
        <v>1301</v>
      </c>
      <c r="B296">
        <f t="shared" si="4"/>
        <v>1</v>
      </c>
      <c r="C296">
        <v>1</v>
      </c>
      <c r="D296">
        <v>0</v>
      </c>
    </row>
    <row r="297" spans="1:4" x14ac:dyDescent="0.5">
      <c r="A297" t="s">
        <v>47</v>
      </c>
      <c r="B297">
        <f t="shared" si="4"/>
        <v>1</v>
      </c>
      <c r="C297">
        <v>1</v>
      </c>
      <c r="D297">
        <v>0</v>
      </c>
    </row>
    <row r="298" spans="1:4" x14ac:dyDescent="0.5">
      <c r="A298" t="s">
        <v>1302</v>
      </c>
      <c r="B298">
        <f t="shared" si="4"/>
        <v>1</v>
      </c>
      <c r="C298">
        <v>1</v>
      </c>
      <c r="D298">
        <v>0</v>
      </c>
    </row>
    <row r="299" spans="1:4" x14ac:dyDescent="0.5">
      <c r="A299" t="s">
        <v>1303</v>
      </c>
      <c r="B299" t="e">
        <f t="shared" si="4"/>
        <v>#VALUE!</v>
      </c>
      <c r="C299" t="s">
        <v>2077</v>
      </c>
      <c r="D299">
        <v>2</v>
      </c>
    </row>
    <row r="300" spans="1:4" x14ac:dyDescent="0.5">
      <c r="A300" t="s">
        <v>688</v>
      </c>
      <c r="B300">
        <f t="shared" si="4"/>
        <v>2.5</v>
      </c>
      <c r="C300">
        <v>2</v>
      </c>
      <c r="D300">
        <v>1</v>
      </c>
    </row>
    <row r="301" spans="1:4" x14ac:dyDescent="0.5">
      <c r="A301" t="s">
        <v>1304</v>
      </c>
      <c r="B301">
        <f t="shared" si="4"/>
        <v>1.5</v>
      </c>
      <c r="C301">
        <v>1</v>
      </c>
      <c r="D301">
        <v>1</v>
      </c>
    </row>
    <row r="302" spans="1:4" x14ac:dyDescent="0.5">
      <c r="A302" t="s">
        <v>1305</v>
      </c>
      <c r="B302">
        <f t="shared" si="4"/>
        <v>1</v>
      </c>
      <c r="C302">
        <v>1</v>
      </c>
      <c r="D302">
        <v>0</v>
      </c>
    </row>
    <row r="303" spans="1:4" x14ac:dyDescent="0.5">
      <c r="A303" t="s">
        <v>1306</v>
      </c>
      <c r="B303">
        <f t="shared" si="4"/>
        <v>3.5</v>
      </c>
      <c r="C303">
        <v>3</v>
      </c>
      <c r="D303">
        <v>1</v>
      </c>
    </row>
    <row r="304" spans="1:4" x14ac:dyDescent="0.5">
      <c r="A304" t="s">
        <v>1307</v>
      </c>
      <c r="B304">
        <f t="shared" si="4"/>
        <v>3</v>
      </c>
      <c r="C304">
        <v>3</v>
      </c>
      <c r="D304">
        <v>0</v>
      </c>
    </row>
    <row r="305" spans="1:4" x14ac:dyDescent="0.5">
      <c r="A305" t="s">
        <v>1308</v>
      </c>
      <c r="B305">
        <f t="shared" si="4"/>
        <v>2.5</v>
      </c>
      <c r="C305">
        <v>2</v>
      </c>
      <c r="D305">
        <v>1</v>
      </c>
    </row>
    <row r="306" spans="1:4" x14ac:dyDescent="0.5">
      <c r="A306" t="s">
        <v>1309</v>
      </c>
      <c r="B306">
        <f t="shared" si="4"/>
        <v>1</v>
      </c>
      <c r="C306">
        <v>1</v>
      </c>
      <c r="D306">
        <v>0</v>
      </c>
    </row>
    <row r="307" spans="1:4" x14ac:dyDescent="0.5">
      <c r="A307" t="s">
        <v>1310</v>
      </c>
      <c r="B307">
        <f t="shared" si="4"/>
        <v>1.5</v>
      </c>
      <c r="C307">
        <v>1</v>
      </c>
      <c r="D307">
        <v>1</v>
      </c>
    </row>
    <row r="308" spans="1:4" x14ac:dyDescent="0.5">
      <c r="A308" t="s">
        <v>1311</v>
      </c>
      <c r="B308">
        <f t="shared" si="4"/>
        <v>1</v>
      </c>
      <c r="C308">
        <v>1</v>
      </c>
      <c r="D308">
        <v>0</v>
      </c>
    </row>
    <row r="309" spans="1:4" x14ac:dyDescent="0.5">
      <c r="A309" t="s">
        <v>1312</v>
      </c>
      <c r="B309">
        <f t="shared" si="4"/>
        <v>1</v>
      </c>
      <c r="C309">
        <v>1</v>
      </c>
      <c r="D309">
        <v>0</v>
      </c>
    </row>
    <row r="310" spans="1:4" x14ac:dyDescent="0.5">
      <c r="A310" t="s">
        <v>586</v>
      </c>
      <c r="B310">
        <f t="shared" si="4"/>
        <v>2.5</v>
      </c>
      <c r="C310">
        <v>2</v>
      </c>
      <c r="D310">
        <v>1</v>
      </c>
    </row>
    <row r="311" spans="1:4" x14ac:dyDescent="0.5">
      <c r="A311" t="s">
        <v>1313</v>
      </c>
      <c r="B311">
        <f t="shared" si="4"/>
        <v>1</v>
      </c>
      <c r="C311">
        <v>1</v>
      </c>
      <c r="D311">
        <v>0</v>
      </c>
    </row>
    <row r="312" spans="1:4" x14ac:dyDescent="0.5">
      <c r="A312" t="s">
        <v>1314</v>
      </c>
      <c r="B312">
        <f t="shared" si="4"/>
        <v>1.5</v>
      </c>
      <c r="C312">
        <v>1</v>
      </c>
      <c r="D312">
        <v>1</v>
      </c>
    </row>
    <row r="313" spans="1:4" x14ac:dyDescent="0.5">
      <c r="A313" t="s">
        <v>1314</v>
      </c>
      <c r="B313">
        <f t="shared" si="4"/>
        <v>1.5</v>
      </c>
      <c r="C313">
        <v>1</v>
      </c>
      <c r="D313">
        <v>1</v>
      </c>
    </row>
    <row r="314" spans="1:4" x14ac:dyDescent="0.5">
      <c r="A314" t="s">
        <v>1315</v>
      </c>
      <c r="B314">
        <f t="shared" si="4"/>
        <v>2.5</v>
      </c>
      <c r="C314">
        <v>2</v>
      </c>
      <c r="D314">
        <v>1</v>
      </c>
    </row>
    <row r="315" spans="1:4" x14ac:dyDescent="0.5">
      <c r="A315" t="s">
        <v>1316</v>
      </c>
      <c r="B315">
        <f t="shared" si="4"/>
        <v>2</v>
      </c>
      <c r="C315">
        <v>2</v>
      </c>
      <c r="D315">
        <v>0</v>
      </c>
    </row>
    <row r="316" spans="1:4" x14ac:dyDescent="0.5">
      <c r="A316" t="s">
        <v>1317</v>
      </c>
      <c r="B316">
        <f t="shared" si="4"/>
        <v>2</v>
      </c>
      <c r="C316">
        <v>2</v>
      </c>
      <c r="D316">
        <v>0</v>
      </c>
    </row>
    <row r="317" spans="1:4" x14ac:dyDescent="0.5">
      <c r="A317" t="s">
        <v>1318</v>
      </c>
      <c r="B317">
        <f t="shared" si="4"/>
        <v>3</v>
      </c>
      <c r="C317">
        <v>3</v>
      </c>
      <c r="D317">
        <v>0</v>
      </c>
    </row>
    <row r="318" spans="1:4" x14ac:dyDescent="0.5">
      <c r="A318" t="s">
        <v>361</v>
      </c>
      <c r="B318">
        <f t="shared" si="4"/>
        <v>3.5</v>
      </c>
      <c r="C318">
        <v>3</v>
      </c>
      <c r="D318">
        <v>1</v>
      </c>
    </row>
    <row r="319" spans="1:4" x14ac:dyDescent="0.5">
      <c r="A319" t="s">
        <v>1319</v>
      </c>
      <c r="B319">
        <f t="shared" si="4"/>
        <v>1</v>
      </c>
      <c r="C319">
        <v>1</v>
      </c>
      <c r="D319">
        <v>0</v>
      </c>
    </row>
    <row r="320" spans="1:4" x14ac:dyDescent="0.5">
      <c r="A320" t="s">
        <v>1320</v>
      </c>
      <c r="B320">
        <f t="shared" si="4"/>
        <v>1</v>
      </c>
      <c r="C320">
        <v>1</v>
      </c>
      <c r="D320">
        <v>0</v>
      </c>
    </row>
    <row r="321" spans="1:4" x14ac:dyDescent="0.5">
      <c r="A321" t="s">
        <v>1321</v>
      </c>
      <c r="B321">
        <f t="shared" si="4"/>
        <v>1</v>
      </c>
      <c r="C321">
        <v>1</v>
      </c>
      <c r="D321">
        <v>0</v>
      </c>
    </row>
    <row r="322" spans="1:4" x14ac:dyDescent="0.5">
      <c r="A322" t="s">
        <v>1322</v>
      </c>
      <c r="B322">
        <f t="shared" ref="B322:B385" si="5">SUM(C322 + 1/2*D322)</f>
        <v>1</v>
      </c>
      <c r="C322">
        <v>1</v>
      </c>
      <c r="D322">
        <v>0</v>
      </c>
    </row>
    <row r="323" spans="1:4" x14ac:dyDescent="0.5">
      <c r="A323" t="s">
        <v>1323</v>
      </c>
      <c r="B323">
        <f t="shared" si="5"/>
        <v>2.5</v>
      </c>
      <c r="C323">
        <v>2</v>
      </c>
      <c r="D323">
        <v>1</v>
      </c>
    </row>
    <row r="324" spans="1:4" x14ac:dyDescent="0.5">
      <c r="A324" t="s">
        <v>1324</v>
      </c>
      <c r="B324">
        <f t="shared" si="5"/>
        <v>1.5</v>
      </c>
      <c r="C324">
        <v>1</v>
      </c>
      <c r="D324">
        <v>1</v>
      </c>
    </row>
    <row r="325" spans="1:4" x14ac:dyDescent="0.5">
      <c r="A325" t="s">
        <v>433</v>
      </c>
      <c r="B325">
        <f t="shared" si="5"/>
        <v>2.5</v>
      </c>
      <c r="C325">
        <v>2</v>
      </c>
      <c r="D325">
        <v>1</v>
      </c>
    </row>
    <row r="326" spans="1:4" x14ac:dyDescent="0.5">
      <c r="A326" t="s">
        <v>1325</v>
      </c>
      <c r="B326">
        <f t="shared" si="5"/>
        <v>2</v>
      </c>
      <c r="C326">
        <v>2</v>
      </c>
      <c r="D326">
        <v>0</v>
      </c>
    </row>
    <row r="327" spans="1:4" x14ac:dyDescent="0.5">
      <c r="A327" t="s">
        <v>1326</v>
      </c>
      <c r="B327" t="e">
        <f t="shared" si="5"/>
        <v>#VALUE!</v>
      </c>
      <c r="C327" t="s">
        <v>2077</v>
      </c>
      <c r="D327">
        <v>0</v>
      </c>
    </row>
    <row r="328" spans="1:4" x14ac:dyDescent="0.5">
      <c r="A328" t="s">
        <v>1327</v>
      </c>
      <c r="B328">
        <f t="shared" si="5"/>
        <v>2</v>
      </c>
      <c r="C328">
        <v>2</v>
      </c>
      <c r="D328">
        <v>0</v>
      </c>
    </row>
    <row r="329" spans="1:4" x14ac:dyDescent="0.5">
      <c r="A329" t="s">
        <v>1328</v>
      </c>
      <c r="B329">
        <f t="shared" si="5"/>
        <v>1</v>
      </c>
      <c r="C329">
        <v>1</v>
      </c>
      <c r="D329">
        <v>0</v>
      </c>
    </row>
    <row r="330" spans="1:4" x14ac:dyDescent="0.5">
      <c r="A330" t="s">
        <v>1329</v>
      </c>
      <c r="B330">
        <f t="shared" si="5"/>
        <v>1</v>
      </c>
      <c r="C330">
        <v>1</v>
      </c>
      <c r="D330">
        <v>0</v>
      </c>
    </row>
    <row r="331" spans="1:4" x14ac:dyDescent="0.5">
      <c r="A331" t="s">
        <v>1330</v>
      </c>
      <c r="B331">
        <f t="shared" si="5"/>
        <v>1</v>
      </c>
      <c r="C331">
        <v>1</v>
      </c>
      <c r="D331">
        <v>0</v>
      </c>
    </row>
    <row r="332" spans="1:4" x14ac:dyDescent="0.5">
      <c r="A332" t="s">
        <v>1331</v>
      </c>
      <c r="B332">
        <f t="shared" si="5"/>
        <v>1</v>
      </c>
      <c r="C332">
        <v>1</v>
      </c>
      <c r="D332">
        <v>0</v>
      </c>
    </row>
    <row r="333" spans="1:4" x14ac:dyDescent="0.5">
      <c r="A333" t="s">
        <v>1332</v>
      </c>
      <c r="B333">
        <f t="shared" si="5"/>
        <v>2</v>
      </c>
      <c r="C333">
        <v>2</v>
      </c>
      <c r="D333">
        <v>0</v>
      </c>
    </row>
    <row r="334" spans="1:4" x14ac:dyDescent="0.5">
      <c r="A334" t="s">
        <v>1333</v>
      </c>
      <c r="B334">
        <f t="shared" si="5"/>
        <v>1</v>
      </c>
      <c r="C334">
        <v>1</v>
      </c>
      <c r="D334">
        <v>0</v>
      </c>
    </row>
    <row r="335" spans="1:4" x14ac:dyDescent="0.5">
      <c r="A335" t="s">
        <v>1334</v>
      </c>
      <c r="B335">
        <f t="shared" si="5"/>
        <v>2.5</v>
      </c>
      <c r="C335">
        <v>2</v>
      </c>
      <c r="D335">
        <v>1</v>
      </c>
    </row>
    <row r="336" spans="1:4" x14ac:dyDescent="0.5">
      <c r="A336" t="s">
        <v>1335</v>
      </c>
      <c r="B336">
        <f t="shared" si="5"/>
        <v>1.5</v>
      </c>
      <c r="C336">
        <v>1</v>
      </c>
      <c r="D336">
        <v>1</v>
      </c>
    </row>
    <row r="337" spans="1:4" x14ac:dyDescent="0.5">
      <c r="A337" t="s">
        <v>1336</v>
      </c>
      <c r="B337">
        <f t="shared" si="5"/>
        <v>1</v>
      </c>
      <c r="C337">
        <v>1</v>
      </c>
      <c r="D337">
        <v>0</v>
      </c>
    </row>
    <row r="338" spans="1:4" x14ac:dyDescent="0.5">
      <c r="A338" t="s">
        <v>1337</v>
      </c>
      <c r="B338">
        <f t="shared" si="5"/>
        <v>2</v>
      </c>
      <c r="C338">
        <v>2</v>
      </c>
      <c r="D338">
        <v>0</v>
      </c>
    </row>
    <row r="339" spans="1:4" x14ac:dyDescent="0.5">
      <c r="A339" t="s">
        <v>1338</v>
      </c>
      <c r="B339" t="e">
        <f t="shared" si="5"/>
        <v>#VALUE!</v>
      </c>
      <c r="C339" t="s">
        <v>2077</v>
      </c>
      <c r="D339">
        <v>2</v>
      </c>
    </row>
    <row r="340" spans="1:4" x14ac:dyDescent="0.5">
      <c r="A340" t="s">
        <v>1339</v>
      </c>
      <c r="B340">
        <f t="shared" si="5"/>
        <v>1</v>
      </c>
      <c r="C340">
        <v>1</v>
      </c>
      <c r="D340">
        <v>0</v>
      </c>
    </row>
    <row r="341" spans="1:4" x14ac:dyDescent="0.5">
      <c r="A341" t="s">
        <v>1340</v>
      </c>
      <c r="B341">
        <f t="shared" si="5"/>
        <v>1</v>
      </c>
      <c r="C341">
        <v>1</v>
      </c>
      <c r="D341">
        <v>0</v>
      </c>
    </row>
    <row r="342" spans="1:4" x14ac:dyDescent="0.5">
      <c r="A342" t="s">
        <v>1342</v>
      </c>
      <c r="B342">
        <f t="shared" si="5"/>
        <v>1</v>
      </c>
      <c r="C342">
        <v>1</v>
      </c>
      <c r="D342">
        <v>0</v>
      </c>
    </row>
    <row r="343" spans="1:4" x14ac:dyDescent="0.5">
      <c r="A343" t="s">
        <v>1343</v>
      </c>
      <c r="B343">
        <f t="shared" si="5"/>
        <v>1</v>
      </c>
      <c r="C343">
        <v>1</v>
      </c>
      <c r="D343">
        <v>0</v>
      </c>
    </row>
    <row r="344" spans="1:4" x14ac:dyDescent="0.5">
      <c r="A344" t="s">
        <v>1344</v>
      </c>
      <c r="B344">
        <f t="shared" si="5"/>
        <v>3</v>
      </c>
      <c r="C344">
        <v>3</v>
      </c>
      <c r="D344">
        <v>0</v>
      </c>
    </row>
    <row r="345" spans="1:4" x14ac:dyDescent="0.5">
      <c r="A345" t="s">
        <v>1345</v>
      </c>
      <c r="B345" t="e">
        <f t="shared" si="5"/>
        <v>#VALUE!</v>
      </c>
      <c r="C345" t="s">
        <v>2077</v>
      </c>
      <c r="D345">
        <v>1</v>
      </c>
    </row>
    <row r="346" spans="1:4" x14ac:dyDescent="0.5">
      <c r="A346" t="s">
        <v>696</v>
      </c>
      <c r="B346">
        <f t="shared" si="5"/>
        <v>1</v>
      </c>
      <c r="C346">
        <v>1</v>
      </c>
      <c r="D346">
        <v>0</v>
      </c>
    </row>
    <row r="347" spans="1:4" x14ac:dyDescent="0.5">
      <c r="A347" t="s">
        <v>1346</v>
      </c>
      <c r="B347">
        <f t="shared" si="5"/>
        <v>2.5</v>
      </c>
      <c r="C347">
        <v>2</v>
      </c>
      <c r="D347">
        <v>1</v>
      </c>
    </row>
    <row r="348" spans="1:4" x14ac:dyDescent="0.5">
      <c r="A348" t="s">
        <v>1347</v>
      </c>
      <c r="B348">
        <f t="shared" si="5"/>
        <v>2.5</v>
      </c>
      <c r="C348">
        <v>2</v>
      </c>
      <c r="D348">
        <v>1</v>
      </c>
    </row>
    <row r="349" spans="1:4" x14ac:dyDescent="0.5">
      <c r="A349" t="s">
        <v>1348</v>
      </c>
      <c r="B349">
        <f t="shared" si="5"/>
        <v>2</v>
      </c>
      <c r="C349">
        <v>2</v>
      </c>
      <c r="D349">
        <v>0</v>
      </c>
    </row>
    <row r="350" spans="1:4" x14ac:dyDescent="0.5">
      <c r="A350" t="s">
        <v>1349</v>
      </c>
      <c r="B350">
        <f t="shared" si="5"/>
        <v>2</v>
      </c>
      <c r="C350">
        <v>2</v>
      </c>
      <c r="D350">
        <v>0</v>
      </c>
    </row>
    <row r="351" spans="1:4" x14ac:dyDescent="0.5">
      <c r="A351" t="s">
        <v>1350</v>
      </c>
      <c r="B351">
        <f t="shared" si="5"/>
        <v>2</v>
      </c>
      <c r="C351">
        <v>2</v>
      </c>
      <c r="D351">
        <v>0</v>
      </c>
    </row>
    <row r="352" spans="1:4" x14ac:dyDescent="0.5">
      <c r="A352" t="s">
        <v>1351</v>
      </c>
      <c r="B352">
        <f t="shared" si="5"/>
        <v>2</v>
      </c>
      <c r="C352">
        <v>2</v>
      </c>
      <c r="D352">
        <v>0</v>
      </c>
    </row>
    <row r="353" spans="1:4" x14ac:dyDescent="0.5">
      <c r="A353" t="s">
        <v>1352</v>
      </c>
      <c r="B353" t="e">
        <f t="shared" si="5"/>
        <v>#VALUE!</v>
      </c>
      <c r="C353" t="s">
        <v>2077</v>
      </c>
      <c r="D353">
        <v>1</v>
      </c>
    </row>
    <row r="354" spans="1:4" x14ac:dyDescent="0.5">
      <c r="A354" t="s">
        <v>789</v>
      </c>
      <c r="B354">
        <f t="shared" si="5"/>
        <v>1</v>
      </c>
      <c r="C354">
        <v>1</v>
      </c>
      <c r="D354">
        <v>0</v>
      </c>
    </row>
    <row r="355" spans="1:4" x14ac:dyDescent="0.5">
      <c r="A355" t="s">
        <v>791</v>
      </c>
      <c r="B355">
        <f t="shared" si="5"/>
        <v>1</v>
      </c>
      <c r="C355">
        <v>1</v>
      </c>
      <c r="D355">
        <v>0</v>
      </c>
    </row>
    <row r="356" spans="1:4" x14ac:dyDescent="0.5">
      <c r="A356" t="s">
        <v>788</v>
      </c>
      <c r="B356">
        <f t="shared" si="5"/>
        <v>1</v>
      </c>
      <c r="C356">
        <v>1</v>
      </c>
      <c r="D356">
        <v>0</v>
      </c>
    </row>
    <row r="357" spans="1:4" x14ac:dyDescent="0.5">
      <c r="A357" t="s">
        <v>1353</v>
      </c>
      <c r="B357">
        <f t="shared" si="5"/>
        <v>2</v>
      </c>
      <c r="C357">
        <v>2</v>
      </c>
      <c r="D357">
        <v>0</v>
      </c>
    </row>
    <row r="358" spans="1:4" x14ac:dyDescent="0.5">
      <c r="A358" t="s">
        <v>1354</v>
      </c>
      <c r="B358">
        <f t="shared" si="5"/>
        <v>1</v>
      </c>
      <c r="C358">
        <v>1</v>
      </c>
      <c r="D358">
        <v>0</v>
      </c>
    </row>
    <row r="359" spans="1:4" x14ac:dyDescent="0.5">
      <c r="A359" t="s">
        <v>1355</v>
      </c>
      <c r="B359">
        <f t="shared" si="5"/>
        <v>2.5</v>
      </c>
      <c r="C359">
        <v>2</v>
      </c>
      <c r="D359">
        <v>1</v>
      </c>
    </row>
    <row r="360" spans="1:4" x14ac:dyDescent="0.5">
      <c r="A360" t="s">
        <v>1356</v>
      </c>
      <c r="B360">
        <f t="shared" si="5"/>
        <v>2</v>
      </c>
      <c r="C360">
        <v>2</v>
      </c>
      <c r="D360">
        <v>0</v>
      </c>
    </row>
    <row r="361" spans="1:4" x14ac:dyDescent="0.5">
      <c r="A361" t="s">
        <v>1357</v>
      </c>
      <c r="B361">
        <f t="shared" si="5"/>
        <v>2</v>
      </c>
      <c r="C361">
        <v>2</v>
      </c>
      <c r="D361">
        <v>0</v>
      </c>
    </row>
    <row r="362" spans="1:4" x14ac:dyDescent="0.5">
      <c r="A362" t="s">
        <v>1358</v>
      </c>
      <c r="B362">
        <f t="shared" si="5"/>
        <v>1</v>
      </c>
      <c r="C362">
        <v>1</v>
      </c>
      <c r="D362">
        <v>0</v>
      </c>
    </row>
    <row r="363" spans="1:4" x14ac:dyDescent="0.5">
      <c r="A363" t="s">
        <v>1359</v>
      </c>
      <c r="B363">
        <f t="shared" si="5"/>
        <v>1</v>
      </c>
      <c r="C363">
        <v>1</v>
      </c>
      <c r="D363">
        <v>0</v>
      </c>
    </row>
    <row r="364" spans="1:4" x14ac:dyDescent="0.5">
      <c r="A364" t="s">
        <v>1360</v>
      </c>
      <c r="B364">
        <f t="shared" si="5"/>
        <v>2</v>
      </c>
      <c r="C364">
        <v>2</v>
      </c>
      <c r="D364">
        <v>0</v>
      </c>
    </row>
    <row r="365" spans="1:4" x14ac:dyDescent="0.5">
      <c r="A365" t="s">
        <v>1361</v>
      </c>
      <c r="B365">
        <f t="shared" si="5"/>
        <v>3.5</v>
      </c>
      <c r="C365">
        <v>3</v>
      </c>
      <c r="D365">
        <v>1</v>
      </c>
    </row>
    <row r="366" spans="1:4" x14ac:dyDescent="0.5">
      <c r="A366" t="s">
        <v>1362</v>
      </c>
      <c r="B366">
        <f t="shared" si="5"/>
        <v>1</v>
      </c>
      <c r="C366">
        <v>1</v>
      </c>
      <c r="D366">
        <v>0</v>
      </c>
    </row>
    <row r="367" spans="1:4" x14ac:dyDescent="0.5">
      <c r="A367" t="s">
        <v>1363</v>
      </c>
      <c r="B367">
        <f t="shared" si="5"/>
        <v>2.5</v>
      </c>
      <c r="C367">
        <v>2</v>
      </c>
      <c r="D367">
        <v>1</v>
      </c>
    </row>
    <row r="368" spans="1:4" x14ac:dyDescent="0.5">
      <c r="A368" t="s">
        <v>1364</v>
      </c>
      <c r="B368">
        <f t="shared" si="5"/>
        <v>3.5</v>
      </c>
      <c r="C368">
        <v>3</v>
      </c>
      <c r="D368">
        <v>1</v>
      </c>
    </row>
    <row r="369" spans="1:4" x14ac:dyDescent="0.5">
      <c r="A369" t="s">
        <v>1365</v>
      </c>
      <c r="B369">
        <f t="shared" si="5"/>
        <v>1</v>
      </c>
      <c r="C369">
        <v>1</v>
      </c>
      <c r="D369">
        <v>0</v>
      </c>
    </row>
    <row r="370" spans="1:4" x14ac:dyDescent="0.5">
      <c r="A370" t="s">
        <v>1366</v>
      </c>
      <c r="B370">
        <f t="shared" si="5"/>
        <v>2</v>
      </c>
      <c r="C370">
        <v>2</v>
      </c>
      <c r="D370">
        <v>0</v>
      </c>
    </row>
    <row r="371" spans="1:4" x14ac:dyDescent="0.5">
      <c r="A371" t="s">
        <v>1367</v>
      </c>
      <c r="B371">
        <f t="shared" si="5"/>
        <v>1.5</v>
      </c>
      <c r="C371">
        <v>1</v>
      </c>
      <c r="D371">
        <v>1</v>
      </c>
    </row>
    <row r="372" spans="1:4" x14ac:dyDescent="0.5">
      <c r="A372" t="s">
        <v>1368</v>
      </c>
      <c r="B372">
        <f t="shared" si="5"/>
        <v>2.5</v>
      </c>
      <c r="C372">
        <v>2</v>
      </c>
      <c r="D372">
        <v>1</v>
      </c>
    </row>
    <row r="373" spans="1:4" x14ac:dyDescent="0.5">
      <c r="A373" t="s">
        <v>1369</v>
      </c>
      <c r="B373">
        <f t="shared" si="5"/>
        <v>3.5</v>
      </c>
      <c r="C373">
        <v>3</v>
      </c>
      <c r="D373">
        <v>1</v>
      </c>
    </row>
    <row r="374" spans="1:4" x14ac:dyDescent="0.5">
      <c r="A374" t="s">
        <v>1370</v>
      </c>
      <c r="B374">
        <f t="shared" si="5"/>
        <v>1.5</v>
      </c>
      <c r="C374">
        <v>1</v>
      </c>
      <c r="D374">
        <v>1</v>
      </c>
    </row>
    <row r="375" spans="1:4" x14ac:dyDescent="0.5">
      <c r="A375" t="s">
        <v>563</v>
      </c>
      <c r="B375">
        <f t="shared" si="5"/>
        <v>2.5</v>
      </c>
      <c r="C375">
        <v>2</v>
      </c>
      <c r="D375">
        <v>1</v>
      </c>
    </row>
    <row r="376" spans="1:4" x14ac:dyDescent="0.5">
      <c r="A376" t="s">
        <v>1371</v>
      </c>
      <c r="B376">
        <f t="shared" si="5"/>
        <v>2</v>
      </c>
      <c r="C376">
        <v>2</v>
      </c>
      <c r="D376">
        <v>0</v>
      </c>
    </row>
    <row r="377" spans="1:4" x14ac:dyDescent="0.5">
      <c r="A377" t="s">
        <v>1372</v>
      </c>
      <c r="B377">
        <f t="shared" si="5"/>
        <v>2.5</v>
      </c>
      <c r="C377">
        <v>2</v>
      </c>
      <c r="D377">
        <v>1</v>
      </c>
    </row>
    <row r="378" spans="1:4" x14ac:dyDescent="0.5">
      <c r="A378" t="s">
        <v>1373</v>
      </c>
      <c r="B378">
        <f t="shared" si="5"/>
        <v>2</v>
      </c>
      <c r="C378">
        <v>2</v>
      </c>
      <c r="D378">
        <v>0</v>
      </c>
    </row>
    <row r="379" spans="1:4" x14ac:dyDescent="0.5">
      <c r="A379" t="s">
        <v>1374</v>
      </c>
      <c r="B379">
        <f t="shared" si="5"/>
        <v>1.5</v>
      </c>
      <c r="C379">
        <v>1</v>
      </c>
      <c r="D379">
        <v>1</v>
      </c>
    </row>
    <row r="380" spans="1:4" x14ac:dyDescent="0.5">
      <c r="A380" t="s">
        <v>280</v>
      </c>
      <c r="B380">
        <f t="shared" si="5"/>
        <v>1</v>
      </c>
      <c r="C380">
        <v>1</v>
      </c>
      <c r="D380">
        <v>0</v>
      </c>
    </row>
    <row r="381" spans="1:4" x14ac:dyDescent="0.5">
      <c r="A381" t="s">
        <v>1375</v>
      </c>
      <c r="B381">
        <f t="shared" si="5"/>
        <v>1</v>
      </c>
      <c r="C381">
        <v>1</v>
      </c>
      <c r="D381">
        <v>0</v>
      </c>
    </row>
    <row r="382" spans="1:4" x14ac:dyDescent="0.5">
      <c r="A382" t="s">
        <v>297</v>
      </c>
      <c r="B382">
        <f t="shared" si="5"/>
        <v>1</v>
      </c>
      <c r="C382">
        <v>1</v>
      </c>
      <c r="D382">
        <v>0</v>
      </c>
    </row>
    <row r="383" spans="1:4" x14ac:dyDescent="0.5">
      <c r="A383" t="s">
        <v>304</v>
      </c>
      <c r="B383">
        <f t="shared" si="5"/>
        <v>1</v>
      </c>
      <c r="C383">
        <v>1</v>
      </c>
      <c r="D383">
        <v>0</v>
      </c>
    </row>
    <row r="384" spans="1:4" x14ac:dyDescent="0.5">
      <c r="A384" t="s">
        <v>1376</v>
      </c>
      <c r="B384">
        <f t="shared" si="5"/>
        <v>1</v>
      </c>
      <c r="C384">
        <v>1</v>
      </c>
      <c r="D384">
        <v>0</v>
      </c>
    </row>
    <row r="385" spans="1:4" x14ac:dyDescent="0.5">
      <c r="A385" t="s">
        <v>1377</v>
      </c>
      <c r="B385">
        <f t="shared" si="5"/>
        <v>1</v>
      </c>
      <c r="C385">
        <v>1</v>
      </c>
      <c r="D385">
        <v>0</v>
      </c>
    </row>
    <row r="386" spans="1:4" x14ac:dyDescent="0.5">
      <c r="A386" t="s">
        <v>1378</v>
      </c>
      <c r="B386">
        <f t="shared" ref="B386:B449" si="6">SUM(C386 + 1/2*D386)</f>
        <v>1</v>
      </c>
      <c r="C386">
        <v>1</v>
      </c>
      <c r="D386">
        <v>0</v>
      </c>
    </row>
    <row r="387" spans="1:4" x14ac:dyDescent="0.5">
      <c r="A387" t="s">
        <v>1379</v>
      </c>
      <c r="B387">
        <f t="shared" si="6"/>
        <v>1.5</v>
      </c>
      <c r="C387">
        <v>1</v>
      </c>
      <c r="D387">
        <v>1</v>
      </c>
    </row>
    <row r="388" spans="1:4" x14ac:dyDescent="0.5">
      <c r="A388" t="s">
        <v>1380</v>
      </c>
      <c r="B388">
        <f t="shared" si="6"/>
        <v>1</v>
      </c>
      <c r="C388">
        <v>1</v>
      </c>
      <c r="D388">
        <v>0</v>
      </c>
    </row>
    <row r="389" spans="1:4" x14ac:dyDescent="0.5">
      <c r="A389" t="s">
        <v>1381</v>
      </c>
      <c r="B389">
        <f t="shared" si="6"/>
        <v>2.5</v>
      </c>
      <c r="C389">
        <v>2</v>
      </c>
      <c r="D389">
        <v>1</v>
      </c>
    </row>
    <row r="390" spans="1:4" x14ac:dyDescent="0.5">
      <c r="A390" t="s">
        <v>1382</v>
      </c>
      <c r="B390">
        <f t="shared" si="6"/>
        <v>1</v>
      </c>
      <c r="C390">
        <v>1</v>
      </c>
      <c r="D390">
        <v>0</v>
      </c>
    </row>
    <row r="391" spans="1:4" x14ac:dyDescent="0.5">
      <c r="A391" t="s">
        <v>1383</v>
      </c>
      <c r="B391">
        <f t="shared" si="6"/>
        <v>1.5</v>
      </c>
      <c r="C391">
        <v>1</v>
      </c>
      <c r="D391">
        <v>1</v>
      </c>
    </row>
    <row r="392" spans="1:4" x14ac:dyDescent="0.5">
      <c r="A392" t="s">
        <v>1384</v>
      </c>
      <c r="B392">
        <f t="shared" si="6"/>
        <v>1.5</v>
      </c>
      <c r="C392">
        <v>1</v>
      </c>
      <c r="D392">
        <v>1</v>
      </c>
    </row>
    <row r="393" spans="1:4" x14ac:dyDescent="0.5">
      <c r="A393" t="s">
        <v>1385</v>
      </c>
      <c r="B393">
        <f t="shared" si="6"/>
        <v>1.5</v>
      </c>
      <c r="C393">
        <v>1</v>
      </c>
      <c r="D393">
        <v>1</v>
      </c>
    </row>
    <row r="394" spans="1:4" x14ac:dyDescent="0.5">
      <c r="A394" t="s">
        <v>1386</v>
      </c>
      <c r="B394">
        <f t="shared" si="6"/>
        <v>1.5</v>
      </c>
      <c r="C394">
        <v>1</v>
      </c>
      <c r="D394">
        <v>1</v>
      </c>
    </row>
    <row r="395" spans="1:4" x14ac:dyDescent="0.5">
      <c r="A395" t="s">
        <v>1387</v>
      </c>
      <c r="B395">
        <f t="shared" si="6"/>
        <v>1</v>
      </c>
      <c r="C395">
        <v>1</v>
      </c>
      <c r="D395">
        <v>0</v>
      </c>
    </row>
    <row r="396" spans="1:4" x14ac:dyDescent="0.5">
      <c r="A396" t="s">
        <v>1388</v>
      </c>
      <c r="B396">
        <f t="shared" si="6"/>
        <v>1</v>
      </c>
      <c r="C396">
        <v>1</v>
      </c>
      <c r="D396">
        <v>0</v>
      </c>
    </row>
    <row r="397" spans="1:4" x14ac:dyDescent="0.5">
      <c r="A397" t="s">
        <v>1389</v>
      </c>
      <c r="B397">
        <f t="shared" si="6"/>
        <v>1</v>
      </c>
      <c r="C397">
        <v>1</v>
      </c>
      <c r="D397">
        <v>0</v>
      </c>
    </row>
    <row r="398" spans="1:4" x14ac:dyDescent="0.5">
      <c r="A398" t="s">
        <v>737</v>
      </c>
      <c r="B398">
        <f t="shared" si="6"/>
        <v>1</v>
      </c>
      <c r="C398">
        <v>1</v>
      </c>
      <c r="D398">
        <v>0</v>
      </c>
    </row>
    <row r="399" spans="1:4" x14ac:dyDescent="0.5">
      <c r="A399" t="s">
        <v>1390</v>
      </c>
      <c r="B399">
        <f t="shared" si="6"/>
        <v>2</v>
      </c>
      <c r="C399">
        <v>2</v>
      </c>
      <c r="D399">
        <v>0</v>
      </c>
    </row>
    <row r="400" spans="1:4" x14ac:dyDescent="0.5">
      <c r="A400" t="s">
        <v>1391</v>
      </c>
      <c r="B400">
        <f t="shared" si="6"/>
        <v>1</v>
      </c>
      <c r="C400">
        <v>1</v>
      </c>
      <c r="D400">
        <v>0</v>
      </c>
    </row>
    <row r="401" spans="1:4" x14ac:dyDescent="0.5">
      <c r="A401" t="s">
        <v>1392</v>
      </c>
      <c r="B401">
        <f t="shared" si="6"/>
        <v>1</v>
      </c>
      <c r="C401">
        <v>1</v>
      </c>
      <c r="D401">
        <v>0</v>
      </c>
    </row>
    <row r="402" spans="1:4" x14ac:dyDescent="0.5">
      <c r="A402" t="s">
        <v>1393</v>
      </c>
      <c r="B402">
        <f t="shared" si="6"/>
        <v>1</v>
      </c>
      <c r="C402">
        <v>1</v>
      </c>
      <c r="D402">
        <v>0</v>
      </c>
    </row>
    <row r="403" spans="1:4" x14ac:dyDescent="0.5">
      <c r="A403" t="s">
        <v>1394</v>
      </c>
      <c r="B403">
        <f t="shared" si="6"/>
        <v>1</v>
      </c>
      <c r="C403">
        <v>1</v>
      </c>
      <c r="D403">
        <v>0</v>
      </c>
    </row>
    <row r="404" spans="1:4" x14ac:dyDescent="0.5">
      <c r="A404" t="s">
        <v>1395</v>
      </c>
      <c r="B404">
        <f t="shared" si="6"/>
        <v>1</v>
      </c>
      <c r="C404">
        <v>1</v>
      </c>
      <c r="D404">
        <v>0</v>
      </c>
    </row>
    <row r="405" spans="1:4" x14ac:dyDescent="0.5">
      <c r="A405" t="s">
        <v>1396</v>
      </c>
      <c r="B405">
        <f t="shared" si="6"/>
        <v>1</v>
      </c>
      <c r="C405">
        <v>1</v>
      </c>
      <c r="D405">
        <v>0</v>
      </c>
    </row>
    <row r="406" spans="1:4" x14ac:dyDescent="0.5">
      <c r="A406" t="s">
        <v>1397</v>
      </c>
      <c r="B406">
        <f t="shared" si="6"/>
        <v>1</v>
      </c>
      <c r="C406">
        <v>1</v>
      </c>
      <c r="D406">
        <v>0</v>
      </c>
    </row>
    <row r="407" spans="1:4" x14ac:dyDescent="0.5">
      <c r="A407" t="s">
        <v>1398</v>
      </c>
      <c r="B407">
        <f t="shared" si="6"/>
        <v>3</v>
      </c>
      <c r="C407">
        <v>3</v>
      </c>
      <c r="D407">
        <v>0</v>
      </c>
    </row>
    <row r="408" spans="1:4" x14ac:dyDescent="0.5">
      <c r="A408" t="s">
        <v>1399</v>
      </c>
      <c r="B408">
        <f t="shared" si="6"/>
        <v>2</v>
      </c>
      <c r="C408">
        <v>2</v>
      </c>
      <c r="D408">
        <v>0</v>
      </c>
    </row>
    <row r="409" spans="1:4" x14ac:dyDescent="0.5">
      <c r="A409" t="s">
        <v>1400</v>
      </c>
      <c r="B409">
        <f t="shared" si="6"/>
        <v>2</v>
      </c>
      <c r="C409">
        <v>2</v>
      </c>
      <c r="D409">
        <v>0</v>
      </c>
    </row>
    <row r="410" spans="1:4" x14ac:dyDescent="0.5">
      <c r="A410" t="s">
        <v>1401</v>
      </c>
      <c r="B410">
        <f t="shared" si="6"/>
        <v>1</v>
      </c>
      <c r="C410">
        <v>1</v>
      </c>
      <c r="D410">
        <v>0</v>
      </c>
    </row>
    <row r="411" spans="1:4" x14ac:dyDescent="0.5">
      <c r="A411" t="s">
        <v>1402</v>
      </c>
      <c r="B411">
        <f t="shared" si="6"/>
        <v>1</v>
      </c>
      <c r="C411">
        <v>1</v>
      </c>
      <c r="D411">
        <v>0</v>
      </c>
    </row>
    <row r="412" spans="1:4" x14ac:dyDescent="0.5">
      <c r="A412" t="s">
        <v>782</v>
      </c>
      <c r="B412">
        <f t="shared" si="6"/>
        <v>1</v>
      </c>
      <c r="C412">
        <v>1</v>
      </c>
      <c r="D412">
        <v>0</v>
      </c>
    </row>
    <row r="413" spans="1:4" x14ac:dyDescent="0.5">
      <c r="A413" t="s">
        <v>1403</v>
      </c>
      <c r="B413">
        <f t="shared" si="6"/>
        <v>1</v>
      </c>
      <c r="C413">
        <v>1</v>
      </c>
      <c r="D413">
        <v>0</v>
      </c>
    </row>
    <row r="414" spans="1:4" x14ac:dyDescent="0.5">
      <c r="A414" t="s">
        <v>826</v>
      </c>
      <c r="B414">
        <f t="shared" si="6"/>
        <v>1</v>
      </c>
      <c r="C414">
        <v>1</v>
      </c>
      <c r="D414">
        <v>0</v>
      </c>
    </row>
    <row r="415" spans="1:4" x14ac:dyDescent="0.5">
      <c r="A415" t="s">
        <v>824</v>
      </c>
      <c r="B415">
        <f t="shared" si="6"/>
        <v>1</v>
      </c>
      <c r="C415">
        <v>1</v>
      </c>
      <c r="D415">
        <v>0</v>
      </c>
    </row>
    <row r="416" spans="1:4" x14ac:dyDescent="0.5">
      <c r="A416" t="s">
        <v>822</v>
      </c>
      <c r="B416">
        <f t="shared" si="6"/>
        <v>1</v>
      </c>
      <c r="C416">
        <v>1</v>
      </c>
      <c r="D416">
        <v>0</v>
      </c>
    </row>
    <row r="417" spans="1:4" x14ac:dyDescent="0.5">
      <c r="A417" t="s">
        <v>818</v>
      </c>
      <c r="B417">
        <f t="shared" si="6"/>
        <v>1</v>
      </c>
      <c r="C417">
        <v>1</v>
      </c>
      <c r="D417">
        <v>0</v>
      </c>
    </row>
    <row r="418" spans="1:4" x14ac:dyDescent="0.5">
      <c r="A418" t="s">
        <v>764</v>
      </c>
      <c r="B418">
        <f t="shared" si="6"/>
        <v>1</v>
      </c>
      <c r="C418">
        <v>1</v>
      </c>
      <c r="D418">
        <v>0</v>
      </c>
    </row>
    <row r="419" spans="1:4" x14ac:dyDescent="0.5">
      <c r="A419" t="s">
        <v>1404</v>
      </c>
      <c r="B419" t="e">
        <f t="shared" si="6"/>
        <v>#VALUE!</v>
      </c>
      <c r="C419">
        <v>1</v>
      </c>
      <c r="D419" t="s">
        <v>2077</v>
      </c>
    </row>
    <row r="420" spans="1:4" x14ac:dyDescent="0.5">
      <c r="A420" t="s">
        <v>1405</v>
      </c>
      <c r="B420">
        <f t="shared" si="6"/>
        <v>1</v>
      </c>
      <c r="C420">
        <v>1</v>
      </c>
      <c r="D420">
        <v>0</v>
      </c>
    </row>
    <row r="421" spans="1:4" x14ac:dyDescent="0.5">
      <c r="A421" t="s">
        <v>1406</v>
      </c>
      <c r="B421">
        <f t="shared" si="6"/>
        <v>1</v>
      </c>
      <c r="C421">
        <v>1</v>
      </c>
      <c r="D421">
        <v>0</v>
      </c>
    </row>
    <row r="422" spans="1:4" x14ac:dyDescent="0.5">
      <c r="A422" t="s">
        <v>1407</v>
      </c>
      <c r="B422">
        <f t="shared" si="6"/>
        <v>1.5</v>
      </c>
      <c r="C422">
        <v>1</v>
      </c>
      <c r="D422">
        <v>1</v>
      </c>
    </row>
    <row r="423" spans="1:4" x14ac:dyDescent="0.5">
      <c r="A423" t="s">
        <v>1408</v>
      </c>
      <c r="B423">
        <f t="shared" si="6"/>
        <v>1</v>
      </c>
      <c r="C423">
        <v>1</v>
      </c>
      <c r="D423">
        <v>0</v>
      </c>
    </row>
    <row r="424" spans="1:4" x14ac:dyDescent="0.5">
      <c r="A424" t="s">
        <v>1409</v>
      </c>
      <c r="B424">
        <f t="shared" si="6"/>
        <v>1.5</v>
      </c>
      <c r="C424">
        <v>1</v>
      </c>
      <c r="D424">
        <v>1</v>
      </c>
    </row>
    <row r="425" spans="1:4" x14ac:dyDescent="0.5">
      <c r="A425" t="s">
        <v>1410</v>
      </c>
      <c r="B425">
        <f t="shared" si="6"/>
        <v>3</v>
      </c>
      <c r="C425">
        <v>3</v>
      </c>
      <c r="D425">
        <v>0</v>
      </c>
    </row>
    <row r="426" spans="1:4" x14ac:dyDescent="0.5">
      <c r="A426" t="s">
        <v>1410</v>
      </c>
      <c r="B426">
        <f t="shared" si="6"/>
        <v>1</v>
      </c>
      <c r="C426">
        <v>1</v>
      </c>
      <c r="D426">
        <v>0</v>
      </c>
    </row>
    <row r="427" spans="1:4" x14ac:dyDescent="0.5">
      <c r="A427" t="s">
        <v>1094</v>
      </c>
      <c r="B427">
        <f t="shared" si="6"/>
        <v>1</v>
      </c>
      <c r="C427">
        <v>1</v>
      </c>
      <c r="D427">
        <v>0</v>
      </c>
    </row>
    <row r="428" spans="1:4" x14ac:dyDescent="0.5">
      <c r="A428" t="s">
        <v>1411</v>
      </c>
      <c r="B428">
        <f t="shared" si="6"/>
        <v>1</v>
      </c>
      <c r="C428">
        <v>1</v>
      </c>
      <c r="D428">
        <v>0</v>
      </c>
    </row>
    <row r="429" spans="1:4" x14ac:dyDescent="0.5">
      <c r="A429" t="s">
        <v>1412</v>
      </c>
      <c r="B429">
        <f t="shared" si="6"/>
        <v>1.5</v>
      </c>
      <c r="C429">
        <v>1</v>
      </c>
      <c r="D429">
        <v>1</v>
      </c>
    </row>
    <row r="430" spans="1:4" x14ac:dyDescent="0.5">
      <c r="A430" t="s">
        <v>1413</v>
      </c>
      <c r="B430">
        <f t="shared" si="6"/>
        <v>1</v>
      </c>
      <c r="C430">
        <v>1</v>
      </c>
      <c r="D430">
        <v>0</v>
      </c>
    </row>
    <row r="431" spans="1:4" x14ac:dyDescent="0.5">
      <c r="A431" t="s">
        <v>618</v>
      </c>
      <c r="B431">
        <f t="shared" si="6"/>
        <v>1</v>
      </c>
      <c r="C431">
        <v>1</v>
      </c>
      <c r="D431">
        <v>0</v>
      </c>
    </row>
    <row r="432" spans="1:4" x14ac:dyDescent="0.5">
      <c r="A432" t="s">
        <v>1414</v>
      </c>
      <c r="B432">
        <f t="shared" si="6"/>
        <v>1</v>
      </c>
      <c r="C432">
        <v>1</v>
      </c>
      <c r="D432">
        <v>0</v>
      </c>
    </row>
    <row r="433" spans="1:4" x14ac:dyDescent="0.5">
      <c r="A433" t="s">
        <v>52</v>
      </c>
      <c r="B433">
        <f t="shared" si="6"/>
        <v>1</v>
      </c>
      <c r="C433">
        <v>1</v>
      </c>
      <c r="D433">
        <v>0</v>
      </c>
    </row>
    <row r="434" spans="1:4" x14ac:dyDescent="0.5">
      <c r="A434" t="s">
        <v>1415</v>
      </c>
      <c r="B434">
        <f t="shared" si="6"/>
        <v>1.5</v>
      </c>
      <c r="C434">
        <v>1</v>
      </c>
      <c r="D434">
        <v>1</v>
      </c>
    </row>
    <row r="435" spans="1:4" x14ac:dyDescent="0.5">
      <c r="A435" t="s">
        <v>1416</v>
      </c>
      <c r="B435">
        <f t="shared" si="6"/>
        <v>1</v>
      </c>
      <c r="C435">
        <v>1</v>
      </c>
      <c r="D435">
        <v>0</v>
      </c>
    </row>
    <row r="436" spans="1:4" x14ac:dyDescent="0.5">
      <c r="A436" t="s">
        <v>919</v>
      </c>
      <c r="B436">
        <f t="shared" si="6"/>
        <v>1</v>
      </c>
      <c r="C436">
        <v>1</v>
      </c>
      <c r="D436">
        <v>0</v>
      </c>
    </row>
    <row r="437" spans="1:4" x14ac:dyDescent="0.5">
      <c r="A437" t="s">
        <v>358</v>
      </c>
      <c r="B437">
        <f t="shared" si="6"/>
        <v>2</v>
      </c>
      <c r="C437">
        <v>2</v>
      </c>
      <c r="D437">
        <v>0</v>
      </c>
    </row>
    <row r="438" spans="1:4" x14ac:dyDescent="0.5">
      <c r="A438" t="s">
        <v>1417</v>
      </c>
      <c r="B438">
        <f t="shared" si="6"/>
        <v>1</v>
      </c>
      <c r="C438">
        <v>1</v>
      </c>
      <c r="D438">
        <v>0</v>
      </c>
    </row>
    <row r="439" spans="1:4" x14ac:dyDescent="0.5">
      <c r="A439" t="s">
        <v>211</v>
      </c>
      <c r="B439">
        <f t="shared" si="6"/>
        <v>3</v>
      </c>
      <c r="C439">
        <v>3</v>
      </c>
      <c r="D439">
        <v>0</v>
      </c>
    </row>
    <row r="440" spans="1:4" x14ac:dyDescent="0.5">
      <c r="A440" t="s">
        <v>1418</v>
      </c>
      <c r="B440">
        <f t="shared" si="6"/>
        <v>2</v>
      </c>
      <c r="C440">
        <v>2</v>
      </c>
      <c r="D440">
        <v>0</v>
      </c>
    </row>
    <row r="441" spans="1:4" x14ac:dyDescent="0.5">
      <c r="A441" t="s">
        <v>1419</v>
      </c>
      <c r="B441">
        <f t="shared" si="6"/>
        <v>1</v>
      </c>
      <c r="C441">
        <v>1</v>
      </c>
      <c r="D441">
        <v>0</v>
      </c>
    </row>
    <row r="442" spans="1:4" x14ac:dyDescent="0.5">
      <c r="A442" t="s">
        <v>981</v>
      </c>
      <c r="B442">
        <f t="shared" si="6"/>
        <v>1.5</v>
      </c>
      <c r="C442">
        <v>1</v>
      </c>
      <c r="D442">
        <v>1</v>
      </c>
    </row>
    <row r="443" spans="1:4" x14ac:dyDescent="0.5">
      <c r="A443" t="s">
        <v>860</v>
      </c>
      <c r="B443">
        <f t="shared" si="6"/>
        <v>1</v>
      </c>
      <c r="C443">
        <v>1</v>
      </c>
      <c r="D443">
        <v>0</v>
      </c>
    </row>
    <row r="444" spans="1:4" x14ac:dyDescent="0.5">
      <c r="A444" t="s">
        <v>1420</v>
      </c>
      <c r="B444">
        <f t="shared" si="6"/>
        <v>2</v>
      </c>
      <c r="C444">
        <v>2</v>
      </c>
      <c r="D444">
        <v>0</v>
      </c>
    </row>
    <row r="445" spans="1:4" x14ac:dyDescent="0.5">
      <c r="A445" t="s">
        <v>1421</v>
      </c>
      <c r="B445">
        <f t="shared" si="6"/>
        <v>1</v>
      </c>
      <c r="C445">
        <v>1</v>
      </c>
      <c r="D445">
        <v>0</v>
      </c>
    </row>
    <row r="446" spans="1:4" x14ac:dyDescent="0.5">
      <c r="A446" t="s">
        <v>1422</v>
      </c>
      <c r="B446">
        <f t="shared" si="6"/>
        <v>2</v>
      </c>
      <c r="C446">
        <v>2</v>
      </c>
      <c r="D446">
        <v>0</v>
      </c>
    </row>
    <row r="447" spans="1:4" x14ac:dyDescent="0.5">
      <c r="A447" t="s">
        <v>1423</v>
      </c>
      <c r="B447">
        <f t="shared" si="6"/>
        <v>1</v>
      </c>
      <c r="C447">
        <v>1</v>
      </c>
      <c r="D447">
        <v>0</v>
      </c>
    </row>
    <row r="448" spans="1:4" x14ac:dyDescent="0.5">
      <c r="A448" t="s">
        <v>1424</v>
      </c>
      <c r="B448">
        <f t="shared" si="6"/>
        <v>1</v>
      </c>
      <c r="C448">
        <v>1</v>
      </c>
      <c r="D448">
        <v>0</v>
      </c>
    </row>
    <row r="449" spans="1:4" x14ac:dyDescent="0.5">
      <c r="A449" t="s">
        <v>1425</v>
      </c>
      <c r="B449">
        <f t="shared" si="6"/>
        <v>2</v>
      </c>
      <c r="C449">
        <v>2</v>
      </c>
      <c r="D449">
        <v>0</v>
      </c>
    </row>
    <row r="450" spans="1:4" x14ac:dyDescent="0.5">
      <c r="A450" t="s">
        <v>1426</v>
      </c>
      <c r="B450">
        <f t="shared" ref="B450:B513" si="7">SUM(C450 + 1/2*D450)</f>
        <v>2</v>
      </c>
      <c r="C450">
        <v>2</v>
      </c>
      <c r="D450">
        <v>0</v>
      </c>
    </row>
    <row r="451" spans="1:4" x14ac:dyDescent="0.5">
      <c r="A451" t="s">
        <v>1426</v>
      </c>
      <c r="B451">
        <f t="shared" si="7"/>
        <v>2</v>
      </c>
      <c r="C451">
        <v>2</v>
      </c>
      <c r="D451">
        <v>0</v>
      </c>
    </row>
    <row r="452" spans="1:4" x14ac:dyDescent="0.5">
      <c r="A452" t="s">
        <v>1427</v>
      </c>
      <c r="B452">
        <f t="shared" si="7"/>
        <v>2</v>
      </c>
      <c r="C452">
        <v>2</v>
      </c>
      <c r="D452">
        <v>0</v>
      </c>
    </row>
    <row r="453" spans="1:4" x14ac:dyDescent="0.5">
      <c r="A453" t="s">
        <v>1428</v>
      </c>
      <c r="B453">
        <f t="shared" si="7"/>
        <v>2</v>
      </c>
      <c r="C453">
        <v>2</v>
      </c>
      <c r="D453">
        <v>0</v>
      </c>
    </row>
    <row r="454" spans="1:4" x14ac:dyDescent="0.5">
      <c r="A454" t="s">
        <v>1429</v>
      </c>
      <c r="B454">
        <f t="shared" si="7"/>
        <v>2</v>
      </c>
      <c r="C454">
        <v>2</v>
      </c>
      <c r="D454">
        <v>0</v>
      </c>
    </row>
    <row r="455" spans="1:4" x14ac:dyDescent="0.5">
      <c r="A455" t="s">
        <v>1430</v>
      </c>
      <c r="B455">
        <f t="shared" si="7"/>
        <v>1</v>
      </c>
      <c r="C455">
        <v>1</v>
      </c>
      <c r="D455">
        <v>0</v>
      </c>
    </row>
    <row r="456" spans="1:4" x14ac:dyDescent="0.5">
      <c r="A456" t="s">
        <v>1431</v>
      </c>
      <c r="B456">
        <f t="shared" si="7"/>
        <v>1</v>
      </c>
      <c r="C456">
        <v>1</v>
      </c>
      <c r="D456">
        <v>0</v>
      </c>
    </row>
    <row r="457" spans="1:4" x14ac:dyDescent="0.5">
      <c r="A457" t="s">
        <v>1432</v>
      </c>
      <c r="B457">
        <f t="shared" si="7"/>
        <v>1</v>
      </c>
      <c r="C457">
        <v>1</v>
      </c>
      <c r="D457">
        <v>0</v>
      </c>
    </row>
    <row r="458" spans="1:4" x14ac:dyDescent="0.5">
      <c r="A458" t="s">
        <v>1433</v>
      </c>
      <c r="B458">
        <f t="shared" si="7"/>
        <v>2</v>
      </c>
      <c r="C458">
        <v>2</v>
      </c>
      <c r="D458">
        <v>0</v>
      </c>
    </row>
    <row r="459" spans="1:4" x14ac:dyDescent="0.5">
      <c r="A459" t="s">
        <v>1434</v>
      </c>
      <c r="B459">
        <f t="shared" si="7"/>
        <v>2</v>
      </c>
      <c r="C459">
        <v>2</v>
      </c>
      <c r="D459">
        <v>0</v>
      </c>
    </row>
    <row r="460" spans="1:4" x14ac:dyDescent="0.5">
      <c r="A460" t="s">
        <v>1435</v>
      </c>
      <c r="B460">
        <f t="shared" si="7"/>
        <v>2</v>
      </c>
      <c r="C460">
        <v>2</v>
      </c>
      <c r="D460">
        <v>0</v>
      </c>
    </row>
    <row r="461" spans="1:4" x14ac:dyDescent="0.5">
      <c r="A461" t="s">
        <v>1435</v>
      </c>
      <c r="B461">
        <f t="shared" si="7"/>
        <v>2.5</v>
      </c>
      <c r="C461">
        <v>2</v>
      </c>
      <c r="D461">
        <v>1</v>
      </c>
    </row>
    <row r="462" spans="1:4" x14ac:dyDescent="0.5">
      <c r="A462" t="s">
        <v>1436</v>
      </c>
      <c r="B462">
        <f t="shared" si="7"/>
        <v>1</v>
      </c>
      <c r="C462">
        <v>1</v>
      </c>
      <c r="D462">
        <v>0</v>
      </c>
    </row>
    <row r="463" spans="1:4" x14ac:dyDescent="0.5">
      <c r="A463" t="s">
        <v>1437</v>
      </c>
      <c r="B463">
        <f t="shared" si="7"/>
        <v>1</v>
      </c>
      <c r="C463">
        <v>1</v>
      </c>
      <c r="D463">
        <v>0</v>
      </c>
    </row>
    <row r="464" spans="1:4" x14ac:dyDescent="0.5">
      <c r="A464" t="s">
        <v>792</v>
      </c>
      <c r="B464">
        <f t="shared" si="7"/>
        <v>1</v>
      </c>
      <c r="C464">
        <v>1</v>
      </c>
      <c r="D464">
        <v>0</v>
      </c>
    </row>
    <row r="465" spans="1:4" x14ac:dyDescent="0.5">
      <c r="A465" t="s">
        <v>1438</v>
      </c>
      <c r="B465">
        <f t="shared" si="7"/>
        <v>1</v>
      </c>
      <c r="C465">
        <v>1</v>
      </c>
      <c r="D465">
        <v>0</v>
      </c>
    </row>
    <row r="466" spans="1:4" x14ac:dyDescent="0.5">
      <c r="A466" t="s">
        <v>1439</v>
      </c>
      <c r="B466">
        <f t="shared" si="7"/>
        <v>1</v>
      </c>
      <c r="C466">
        <v>1</v>
      </c>
      <c r="D466">
        <v>0</v>
      </c>
    </row>
    <row r="467" spans="1:4" x14ac:dyDescent="0.5">
      <c r="A467" t="s">
        <v>1440</v>
      </c>
      <c r="B467">
        <f t="shared" si="7"/>
        <v>1.5</v>
      </c>
      <c r="C467">
        <v>1</v>
      </c>
      <c r="D467">
        <v>1</v>
      </c>
    </row>
    <row r="468" spans="1:4" x14ac:dyDescent="0.5">
      <c r="A468" t="s">
        <v>1441</v>
      </c>
      <c r="B468">
        <f t="shared" si="7"/>
        <v>1</v>
      </c>
      <c r="C468">
        <v>1</v>
      </c>
      <c r="D468">
        <v>0</v>
      </c>
    </row>
    <row r="469" spans="1:4" x14ac:dyDescent="0.5">
      <c r="A469" t="s">
        <v>1442</v>
      </c>
      <c r="B469">
        <f t="shared" si="7"/>
        <v>1</v>
      </c>
      <c r="C469">
        <v>1</v>
      </c>
      <c r="D469">
        <v>0</v>
      </c>
    </row>
    <row r="470" spans="1:4" x14ac:dyDescent="0.5">
      <c r="A470" t="s">
        <v>1443</v>
      </c>
      <c r="B470">
        <f t="shared" si="7"/>
        <v>1</v>
      </c>
      <c r="C470">
        <v>1</v>
      </c>
      <c r="D470">
        <v>0</v>
      </c>
    </row>
    <row r="471" spans="1:4" x14ac:dyDescent="0.5">
      <c r="A471" t="s">
        <v>1444</v>
      </c>
      <c r="B471">
        <f t="shared" si="7"/>
        <v>2</v>
      </c>
      <c r="C471">
        <v>2</v>
      </c>
      <c r="D471">
        <v>0</v>
      </c>
    </row>
    <row r="472" spans="1:4" x14ac:dyDescent="0.5">
      <c r="A472" t="s">
        <v>1445</v>
      </c>
      <c r="B472">
        <f t="shared" si="7"/>
        <v>1</v>
      </c>
      <c r="C472">
        <v>1</v>
      </c>
      <c r="D472">
        <v>0</v>
      </c>
    </row>
    <row r="473" spans="1:4" x14ac:dyDescent="0.5">
      <c r="A473" t="s">
        <v>1446</v>
      </c>
      <c r="B473">
        <f t="shared" si="7"/>
        <v>1</v>
      </c>
      <c r="C473">
        <v>1</v>
      </c>
      <c r="D473">
        <v>0</v>
      </c>
    </row>
    <row r="474" spans="1:4" x14ac:dyDescent="0.5">
      <c r="A474" t="s">
        <v>1447</v>
      </c>
      <c r="B474">
        <f t="shared" si="7"/>
        <v>1</v>
      </c>
      <c r="C474">
        <v>1</v>
      </c>
      <c r="D474">
        <v>0</v>
      </c>
    </row>
    <row r="475" spans="1:4" x14ac:dyDescent="0.5">
      <c r="A475" t="s">
        <v>1448</v>
      </c>
      <c r="B475">
        <f t="shared" si="7"/>
        <v>2</v>
      </c>
      <c r="C475">
        <v>2</v>
      </c>
      <c r="D475">
        <v>0</v>
      </c>
    </row>
    <row r="476" spans="1:4" x14ac:dyDescent="0.5">
      <c r="A476" t="s">
        <v>1449</v>
      </c>
      <c r="B476">
        <f t="shared" si="7"/>
        <v>2</v>
      </c>
      <c r="C476">
        <v>2</v>
      </c>
      <c r="D476">
        <v>0</v>
      </c>
    </row>
    <row r="477" spans="1:4" x14ac:dyDescent="0.5">
      <c r="A477" t="s">
        <v>1450</v>
      </c>
      <c r="B477">
        <f t="shared" si="7"/>
        <v>2.5</v>
      </c>
      <c r="C477">
        <v>2</v>
      </c>
      <c r="D477">
        <v>1</v>
      </c>
    </row>
    <row r="478" spans="1:4" x14ac:dyDescent="0.5">
      <c r="A478" t="s">
        <v>1451</v>
      </c>
      <c r="B478">
        <f t="shared" si="7"/>
        <v>1.5</v>
      </c>
      <c r="C478">
        <v>1</v>
      </c>
      <c r="D478">
        <v>1</v>
      </c>
    </row>
    <row r="479" spans="1:4" x14ac:dyDescent="0.5">
      <c r="A479" t="s">
        <v>1452</v>
      </c>
      <c r="B479">
        <f t="shared" si="7"/>
        <v>1.5</v>
      </c>
      <c r="C479">
        <v>1</v>
      </c>
      <c r="D479">
        <v>1</v>
      </c>
    </row>
    <row r="480" spans="1:4" x14ac:dyDescent="0.5">
      <c r="A480" t="s">
        <v>1453</v>
      </c>
      <c r="B480">
        <f t="shared" si="7"/>
        <v>1.5</v>
      </c>
      <c r="C480">
        <v>1</v>
      </c>
      <c r="D480">
        <v>1</v>
      </c>
    </row>
    <row r="481" spans="1:4" x14ac:dyDescent="0.5">
      <c r="A481" t="s">
        <v>1454</v>
      </c>
      <c r="B481">
        <f t="shared" si="7"/>
        <v>2</v>
      </c>
      <c r="C481">
        <v>2</v>
      </c>
      <c r="D481">
        <v>0</v>
      </c>
    </row>
    <row r="482" spans="1:4" x14ac:dyDescent="0.5">
      <c r="A482" t="s">
        <v>1455</v>
      </c>
      <c r="B482">
        <f t="shared" si="7"/>
        <v>2</v>
      </c>
      <c r="C482">
        <v>2</v>
      </c>
      <c r="D482">
        <v>0</v>
      </c>
    </row>
    <row r="483" spans="1:4" x14ac:dyDescent="0.5">
      <c r="A483" t="s">
        <v>1456</v>
      </c>
      <c r="B483">
        <f t="shared" si="7"/>
        <v>2.5</v>
      </c>
      <c r="C483">
        <v>2</v>
      </c>
      <c r="D483">
        <v>1</v>
      </c>
    </row>
    <row r="484" spans="1:4" x14ac:dyDescent="0.5">
      <c r="A484" t="s">
        <v>363</v>
      </c>
      <c r="B484" t="e">
        <f t="shared" si="7"/>
        <v>#VALUE!</v>
      </c>
      <c r="C484" t="s">
        <v>2077</v>
      </c>
      <c r="D484">
        <v>0</v>
      </c>
    </row>
    <row r="485" spans="1:4" x14ac:dyDescent="0.5">
      <c r="A485" t="s">
        <v>1457</v>
      </c>
      <c r="B485">
        <f t="shared" si="7"/>
        <v>1.5</v>
      </c>
      <c r="C485">
        <v>1</v>
      </c>
      <c r="D485">
        <v>1</v>
      </c>
    </row>
    <row r="486" spans="1:4" x14ac:dyDescent="0.5">
      <c r="A486" t="s">
        <v>1458</v>
      </c>
      <c r="B486">
        <f t="shared" si="7"/>
        <v>1</v>
      </c>
      <c r="C486">
        <v>1</v>
      </c>
      <c r="D486">
        <v>0</v>
      </c>
    </row>
    <row r="487" spans="1:4" x14ac:dyDescent="0.5">
      <c r="A487" t="s">
        <v>1459</v>
      </c>
      <c r="B487">
        <f t="shared" si="7"/>
        <v>1</v>
      </c>
      <c r="C487">
        <v>1</v>
      </c>
      <c r="D487">
        <v>0</v>
      </c>
    </row>
    <row r="488" spans="1:4" x14ac:dyDescent="0.5">
      <c r="A488" t="s">
        <v>1460</v>
      </c>
      <c r="B488">
        <f t="shared" si="7"/>
        <v>1</v>
      </c>
      <c r="C488">
        <v>1</v>
      </c>
      <c r="D488">
        <v>0</v>
      </c>
    </row>
    <row r="489" spans="1:4" x14ac:dyDescent="0.5">
      <c r="A489" t="s">
        <v>1461</v>
      </c>
      <c r="B489">
        <f t="shared" si="7"/>
        <v>2.5</v>
      </c>
      <c r="C489">
        <v>2</v>
      </c>
      <c r="D489">
        <v>1</v>
      </c>
    </row>
    <row r="490" spans="1:4" x14ac:dyDescent="0.5">
      <c r="A490" t="s">
        <v>1462</v>
      </c>
      <c r="B490">
        <f t="shared" si="7"/>
        <v>1.5</v>
      </c>
      <c r="C490">
        <v>1</v>
      </c>
      <c r="D490">
        <v>1</v>
      </c>
    </row>
    <row r="491" spans="1:4" x14ac:dyDescent="0.5">
      <c r="A491" t="s">
        <v>1463</v>
      </c>
      <c r="B491">
        <f t="shared" si="7"/>
        <v>1</v>
      </c>
      <c r="C491">
        <v>1</v>
      </c>
      <c r="D491">
        <v>0</v>
      </c>
    </row>
    <row r="492" spans="1:4" x14ac:dyDescent="0.5">
      <c r="A492" t="s">
        <v>1464</v>
      </c>
      <c r="B492">
        <f t="shared" si="7"/>
        <v>1</v>
      </c>
      <c r="C492">
        <v>1</v>
      </c>
      <c r="D492">
        <v>0</v>
      </c>
    </row>
    <row r="493" spans="1:4" x14ac:dyDescent="0.5">
      <c r="A493" t="s">
        <v>1465</v>
      </c>
      <c r="B493">
        <f t="shared" si="7"/>
        <v>1.5</v>
      </c>
      <c r="C493">
        <v>1</v>
      </c>
      <c r="D493">
        <v>1</v>
      </c>
    </row>
    <row r="494" spans="1:4" x14ac:dyDescent="0.5">
      <c r="A494" t="s">
        <v>1466</v>
      </c>
      <c r="B494">
        <f t="shared" si="7"/>
        <v>1</v>
      </c>
      <c r="C494">
        <v>1</v>
      </c>
      <c r="D494">
        <v>0</v>
      </c>
    </row>
    <row r="495" spans="1:4" x14ac:dyDescent="0.5">
      <c r="A495" t="s">
        <v>1467</v>
      </c>
      <c r="B495">
        <f t="shared" si="7"/>
        <v>1</v>
      </c>
      <c r="C495">
        <v>1</v>
      </c>
      <c r="D495">
        <v>0</v>
      </c>
    </row>
    <row r="496" spans="1:4" x14ac:dyDescent="0.5">
      <c r="A496" t="s">
        <v>1468</v>
      </c>
      <c r="B496">
        <f t="shared" si="7"/>
        <v>1</v>
      </c>
      <c r="C496">
        <v>1</v>
      </c>
      <c r="D496">
        <v>0</v>
      </c>
    </row>
    <row r="497" spans="1:4" x14ac:dyDescent="0.5">
      <c r="A497" t="s">
        <v>19</v>
      </c>
      <c r="B497">
        <f t="shared" si="7"/>
        <v>1</v>
      </c>
      <c r="C497">
        <v>1</v>
      </c>
      <c r="D497">
        <v>0</v>
      </c>
    </row>
    <row r="498" spans="1:4" x14ac:dyDescent="0.5">
      <c r="A498" t="s">
        <v>925</v>
      </c>
      <c r="B498">
        <f t="shared" si="7"/>
        <v>1</v>
      </c>
      <c r="C498">
        <v>1</v>
      </c>
      <c r="D498">
        <v>0</v>
      </c>
    </row>
    <row r="499" spans="1:4" x14ac:dyDescent="0.5">
      <c r="A499" t="s">
        <v>1469</v>
      </c>
      <c r="B499">
        <f t="shared" si="7"/>
        <v>1</v>
      </c>
      <c r="C499">
        <v>1</v>
      </c>
      <c r="D499">
        <v>0</v>
      </c>
    </row>
    <row r="500" spans="1:4" x14ac:dyDescent="0.5">
      <c r="A500" t="s">
        <v>27</v>
      </c>
      <c r="B500">
        <f t="shared" si="7"/>
        <v>1</v>
      </c>
      <c r="C500">
        <v>1</v>
      </c>
      <c r="D500">
        <v>0</v>
      </c>
    </row>
    <row r="501" spans="1:4" x14ac:dyDescent="0.5">
      <c r="A501" t="s">
        <v>1470</v>
      </c>
      <c r="B501">
        <f t="shared" si="7"/>
        <v>1</v>
      </c>
      <c r="C501">
        <v>1</v>
      </c>
      <c r="D501">
        <v>0</v>
      </c>
    </row>
    <row r="502" spans="1:4" x14ac:dyDescent="0.5">
      <c r="A502" t="s">
        <v>392</v>
      </c>
      <c r="B502">
        <f t="shared" si="7"/>
        <v>1</v>
      </c>
      <c r="C502">
        <v>1</v>
      </c>
      <c r="D502">
        <v>0</v>
      </c>
    </row>
    <row r="503" spans="1:4" x14ac:dyDescent="0.5">
      <c r="A503" t="s">
        <v>1471</v>
      </c>
      <c r="B503">
        <f t="shared" si="7"/>
        <v>1</v>
      </c>
      <c r="C503">
        <v>1</v>
      </c>
      <c r="D503">
        <v>0</v>
      </c>
    </row>
    <row r="504" spans="1:4" x14ac:dyDescent="0.5">
      <c r="A504" t="s">
        <v>1472</v>
      </c>
      <c r="B504">
        <f t="shared" si="7"/>
        <v>1</v>
      </c>
      <c r="C504">
        <v>1</v>
      </c>
      <c r="D504">
        <v>0</v>
      </c>
    </row>
    <row r="505" spans="1:4" x14ac:dyDescent="0.5">
      <c r="A505" t="s">
        <v>1473</v>
      </c>
      <c r="B505">
        <f t="shared" si="7"/>
        <v>1</v>
      </c>
      <c r="C505">
        <v>1</v>
      </c>
      <c r="D505">
        <v>0</v>
      </c>
    </row>
    <row r="506" spans="1:4" x14ac:dyDescent="0.5">
      <c r="A506" t="s">
        <v>1474</v>
      </c>
      <c r="B506">
        <f t="shared" si="7"/>
        <v>2</v>
      </c>
      <c r="C506">
        <v>2</v>
      </c>
      <c r="D506">
        <v>0</v>
      </c>
    </row>
    <row r="507" spans="1:4" x14ac:dyDescent="0.5">
      <c r="A507" t="s">
        <v>1475</v>
      </c>
      <c r="B507">
        <f t="shared" si="7"/>
        <v>1.5</v>
      </c>
      <c r="C507">
        <v>1</v>
      </c>
      <c r="D507">
        <v>1</v>
      </c>
    </row>
    <row r="508" spans="1:4" x14ac:dyDescent="0.5">
      <c r="A508" t="s">
        <v>1476</v>
      </c>
      <c r="B508">
        <f t="shared" si="7"/>
        <v>2</v>
      </c>
      <c r="C508">
        <v>2</v>
      </c>
      <c r="D508">
        <v>0</v>
      </c>
    </row>
    <row r="509" spans="1:4" x14ac:dyDescent="0.5">
      <c r="A509" t="s">
        <v>1477</v>
      </c>
      <c r="B509">
        <f t="shared" si="7"/>
        <v>3</v>
      </c>
      <c r="C509">
        <v>3</v>
      </c>
      <c r="D509">
        <v>0</v>
      </c>
    </row>
    <row r="510" spans="1:4" x14ac:dyDescent="0.5">
      <c r="A510" t="s">
        <v>1478</v>
      </c>
      <c r="B510">
        <f t="shared" si="7"/>
        <v>1</v>
      </c>
      <c r="C510">
        <v>1</v>
      </c>
      <c r="D510">
        <v>0</v>
      </c>
    </row>
    <row r="511" spans="1:4" x14ac:dyDescent="0.5">
      <c r="A511" t="s">
        <v>1479</v>
      </c>
      <c r="B511">
        <f t="shared" si="7"/>
        <v>2</v>
      </c>
      <c r="C511">
        <v>2</v>
      </c>
      <c r="D511">
        <v>0</v>
      </c>
    </row>
    <row r="512" spans="1:4" x14ac:dyDescent="0.5">
      <c r="A512" t="s">
        <v>1480</v>
      </c>
      <c r="B512">
        <f t="shared" si="7"/>
        <v>1</v>
      </c>
      <c r="C512">
        <v>1</v>
      </c>
      <c r="D512">
        <v>0</v>
      </c>
    </row>
    <row r="513" spans="1:4" x14ac:dyDescent="0.5">
      <c r="A513" t="s">
        <v>1481</v>
      </c>
      <c r="B513">
        <f t="shared" si="7"/>
        <v>1</v>
      </c>
      <c r="C513">
        <v>1</v>
      </c>
      <c r="D513">
        <v>0</v>
      </c>
    </row>
    <row r="514" spans="1:4" x14ac:dyDescent="0.5">
      <c r="A514" t="s">
        <v>1482</v>
      </c>
      <c r="B514">
        <f t="shared" ref="B514:B577" si="8">SUM(C514 + 1/2*D514)</f>
        <v>1</v>
      </c>
      <c r="C514">
        <v>1</v>
      </c>
      <c r="D514">
        <v>0</v>
      </c>
    </row>
    <row r="515" spans="1:4" x14ac:dyDescent="0.5">
      <c r="A515" t="s">
        <v>1483</v>
      </c>
      <c r="B515">
        <f t="shared" si="8"/>
        <v>1</v>
      </c>
      <c r="C515">
        <v>1</v>
      </c>
      <c r="D515">
        <v>0</v>
      </c>
    </row>
    <row r="516" spans="1:4" x14ac:dyDescent="0.5">
      <c r="A516" t="s">
        <v>1484</v>
      </c>
      <c r="B516">
        <f t="shared" si="8"/>
        <v>1</v>
      </c>
      <c r="C516">
        <v>1</v>
      </c>
      <c r="D516">
        <v>0</v>
      </c>
    </row>
    <row r="517" spans="1:4" x14ac:dyDescent="0.5">
      <c r="A517" t="s">
        <v>1485</v>
      </c>
      <c r="B517">
        <f t="shared" si="8"/>
        <v>2.5</v>
      </c>
      <c r="C517">
        <v>2</v>
      </c>
      <c r="D517">
        <v>1</v>
      </c>
    </row>
    <row r="518" spans="1:4" x14ac:dyDescent="0.5">
      <c r="A518" t="s">
        <v>1486</v>
      </c>
      <c r="B518">
        <f t="shared" si="8"/>
        <v>1</v>
      </c>
      <c r="C518">
        <v>1</v>
      </c>
      <c r="D518">
        <v>0</v>
      </c>
    </row>
    <row r="519" spans="1:4" x14ac:dyDescent="0.5">
      <c r="A519" t="s">
        <v>1487</v>
      </c>
      <c r="B519">
        <f t="shared" si="8"/>
        <v>1</v>
      </c>
      <c r="C519">
        <v>1</v>
      </c>
      <c r="D519">
        <v>0</v>
      </c>
    </row>
    <row r="520" spans="1:4" x14ac:dyDescent="0.5">
      <c r="A520" t="s">
        <v>1488</v>
      </c>
      <c r="B520">
        <f t="shared" si="8"/>
        <v>2</v>
      </c>
      <c r="C520">
        <v>2</v>
      </c>
      <c r="D520">
        <v>0</v>
      </c>
    </row>
    <row r="521" spans="1:4" x14ac:dyDescent="0.5">
      <c r="A521" t="s">
        <v>1489</v>
      </c>
      <c r="B521">
        <f t="shared" si="8"/>
        <v>1</v>
      </c>
      <c r="C521">
        <v>1</v>
      </c>
      <c r="D521">
        <v>0</v>
      </c>
    </row>
    <row r="522" spans="1:4" x14ac:dyDescent="0.5">
      <c r="A522" t="s">
        <v>1490</v>
      </c>
      <c r="B522">
        <f t="shared" si="8"/>
        <v>1</v>
      </c>
      <c r="C522">
        <v>1</v>
      </c>
      <c r="D522">
        <v>0</v>
      </c>
    </row>
    <row r="523" spans="1:4" x14ac:dyDescent="0.5">
      <c r="A523" t="s">
        <v>1491</v>
      </c>
      <c r="B523">
        <f t="shared" si="8"/>
        <v>1</v>
      </c>
      <c r="C523">
        <v>1</v>
      </c>
      <c r="D523">
        <v>0</v>
      </c>
    </row>
    <row r="524" spans="1:4" x14ac:dyDescent="0.5">
      <c r="A524" t="s">
        <v>1492</v>
      </c>
      <c r="B524">
        <f t="shared" si="8"/>
        <v>2</v>
      </c>
      <c r="C524">
        <v>2</v>
      </c>
      <c r="D524">
        <v>0</v>
      </c>
    </row>
    <row r="525" spans="1:4" x14ac:dyDescent="0.5">
      <c r="A525" t="s">
        <v>1493</v>
      </c>
      <c r="B525">
        <f t="shared" si="8"/>
        <v>2.5</v>
      </c>
      <c r="C525">
        <v>2</v>
      </c>
      <c r="D525">
        <v>1</v>
      </c>
    </row>
    <row r="526" spans="1:4" x14ac:dyDescent="0.5">
      <c r="A526" t="s">
        <v>1494</v>
      </c>
      <c r="B526">
        <f t="shared" si="8"/>
        <v>1</v>
      </c>
      <c r="C526">
        <v>1</v>
      </c>
      <c r="D526">
        <v>0</v>
      </c>
    </row>
    <row r="527" spans="1:4" x14ac:dyDescent="0.5">
      <c r="A527" t="s">
        <v>1495</v>
      </c>
      <c r="B527">
        <f t="shared" si="8"/>
        <v>1</v>
      </c>
      <c r="C527">
        <v>1</v>
      </c>
      <c r="D527">
        <v>0</v>
      </c>
    </row>
    <row r="528" spans="1:4" x14ac:dyDescent="0.5">
      <c r="A528" t="s">
        <v>1496</v>
      </c>
      <c r="B528">
        <f t="shared" si="8"/>
        <v>2</v>
      </c>
      <c r="C528">
        <v>2</v>
      </c>
      <c r="D528">
        <v>0</v>
      </c>
    </row>
    <row r="529" spans="1:4" x14ac:dyDescent="0.5">
      <c r="A529" t="s">
        <v>1497</v>
      </c>
      <c r="B529">
        <f t="shared" si="8"/>
        <v>2</v>
      </c>
      <c r="C529">
        <v>2</v>
      </c>
      <c r="D529">
        <v>0</v>
      </c>
    </row>
    <row r="530" spans="1:4" x14ac:dyDescent="0.5">
      <c r="A530" t="s">
        <v>1498</v>
      </c>
      <c r="B530">
        <f t="shared" si="8"/>
        <v>1</v>
      </c>
      <c r="C530">
        <v>1</v>
      </c>
      <c r="D530">
        <v>0</v>
      </c>
    </row>
    <row r="531" spans="1:4" x14ac:dyDescent="0.5">
      <c r="A531" t="s">
        <v>1499</v>
      </c>
      <c r="B531">
        <f t="shared" si="8"/>
        <v>1</v>
      </c>
      <c r="C531">
        <v>1</v>
      </c>
      <c r="D531">
        <v>0</v>
      </c>
    </row>
    <row r="532" spans="1:4" x14ac:dyDescent="0.5">
      <c r="A532" t="s">
        <v>1500</v>
      </c>
      <c r="B532">
        <f t="shared" si="8"/>
        <v>1.5</v>
      </c>
      <c r="C532">
        <v>1</v>
      </c>
      <c r="D532">
        <v>1</v>
      </c>
    </row>
    <row r="533" spans="1:4" x14ac:dyDescent="0.5">
      <c r="A533" t="s">
        <v>1501</v>
      </c>
      <c r="B533">
        <f t="shared" si="8"/>
        <v>2</v>
      </c>
      <c r="C533">
        <v>2</v>
      </c>
      <c r="D533">
        <v>0</v>
      </c>
    </row>
    <row r="534" spans="1:4" x14ac:dyDescent="0.5">
      <c r="A534" t="s">
        <v>974</v>
      </c>
      <c r="B534">
        <f t="shared" si="8"/>
        <v>1</v>
      </c>
      <c r="C534">
        <v>1</v>
      </c>
      <c r="D534">
        <v>0</v>
      </c>
    </row>
    <row r="535" spans="1:4" x14ac:dyDescent="0.5">
      <c r="A535" t="s">
        <v>1502</v>
      </c>
      <c r="B535">
        <f t="shared" si="8"/>
        <v>3.5</v>
      </c>
      <c r="C535">
        <v>3</v>
      </c>
      <c r="D535">
        <v>1</v>
      </c>
    </row>
    <row r="536" spans="1:4" x14ac:dyDescent="0.5">
      <c r="A536" t="s">
        <v>1503</v>
      </c>
      <c r="B536">
        <f t="shared" si="8"/>
        <v>1</v>
      </c>
      <c r="C536">
        <v>1</v>
      </c>
      <c r="D536">
        <v>0</v>
      </c>
    </row>
    <row r="537" spans="1:4" x14ac:dyDescent="0.5">
      <c r="A537" t="s">
        <v>1504</v>
      </c>
      <c r="B537">
        <f t="shared" si="8"/>
        <v>1</v>
      </c>
      <c r="C537">
        <v>1</v>
      </c>
      <c r="D537">
        <v>0</v>
      </c>
    </row>
    <row r="538" spans="1:4" x14ac:dyDescent="0.5">
      <c r="A538" t="s">
        <v>1505</v>
      </c>
      <c r="B538">
        <f t="shared" si="8"/>
        <v>1</v>
      </c>
      <c r="C538">
        <v>1</v>
      </c>
      <c r="D538">
        <v>0</v>
      </c>
    </row>
    <row r="539" spans="1:4" x14ac:dyDescent="0.5">
      <c r="A539" t="s">
        <v>1506</v>
      </c>
      <c r="B539">
        <f t="shared" si="8"/>
        <v>1</v>
      </c>
      <c r="C539">
        <v>1</v>
      </c>
      <c r="D539">
        <v>0</v>
      </c>
    </row>
    <row r="540" spans="1:4" x14ac:dyDescent="0.5">
      <c r="A540" t="s">
        <v>1507</v>
      </c>
      <c r="B540">
        <f t="shared" si="8"/>
        <v>1</v>
      </c>
      <c r="C540">
        <v>1</v>
      </c>
      <c r="D540">
        <v>0</v>
      </c>
    </row>
    <row r="541" spans="1:4" x14ac:dyDescent="0.5">
      <c r="A541" t="s">
        <v>1508</v>
      </c>
      <c r="B541">
        <f t="shared" si="8"/>
        <v>1</v>
      </c>
      <c r="C541">
        <v>1</v>
      </c>
      <c r="D541">
        <v>0</v>
      </c>
    </row>
    <row r="542" spans="1:4" x14ac:dyDescent="0.5">
      <c r="A542" t="s">
        <v>1509</v>
      </c>
      <c r="B542">
        <f t="shared" si="8"/>
        <v>1</v>
      </c>
      <c r="C542">
        <v>1</v>
      </c>
      <c r="D542">
        <v>0</v>
      </c>
    </row>
    <row r="543" spans="1:4" x14ac:dyDescent="0.5">
      <c r="A543" t="s">
        <v>1510</v>
      </c>
      <c r="B543">
        <f t="shared" si="8"/>
        <v>1</v>
      </c>
      <c r="C543">
        <v>1</v>
      </c>
      <c r="D543">
        <v>0</v>
      </c>
    </row>
    <row r="544" spans="1:4" x14ac:dyDescent="0.5">
      <c r="A544" t="s">
        <v>1511</v>
      </c>
      <c r="B544">
        <f t="shared" si="8"/>
        <v>1</v>
      </c>
      <c r="C544">
        <v>1</v>
      </c>
      <c r="D544">
        <v>0</v>
      </c>
    </row>
    <row r="545" spans="1:4" x14ac:dyDescent="0.5">
      <c r="A545" t="s">
        <v>1512</v>
      </c>
      <c r="B545">
        <f t="shared" si="8"/>
        <v>1</v>
      </c>
      <c r="C545">
        <v>1</v>
      </c>
      <c r="D545">
        <v>0</v>
      </c>
    </row>
    <row r="546" spans="1:4" x14ac:dyDescent="0.5">
      <c r="A546" t="s">
        <v>1513</v>
      </c>
      <c r="B546">
        <f t="shared" si="8"/>
        <v>2</v>
      </c>
      <c r="C546">
        <v>2</v>
      </c>
      <c r="D546">
        <v>0</v>
      </c>
    </row>
    <row r="547" spans="1:4" x14ac:dyDescent="0.5">
      <c r="A547" t="s">
        <v>1514</v>
      </c>
      <c r="B547">
        <f t="shared" si="8"/>
        <v>2</v>
      </c>
      <c r="C547">
        <v>2</v>
      </c>
      <c r="D547">
        <v>0</v>
      </c>
    </row>
    <row r="548" spans="1:4" x14ac:dyDescent="0.5">
      <c r="A548" t="s">
        <v>1515</v>
      </c>
      <c r="B548">
        <f t="shared" si="8"/>
        <v>1</v>
      </c>
      <c r="C548">
        <v>1</v>
      </c>
      <c r="D548">
        <v>0</v>
      </c>
    </row>
    <row r="549" spans="1:4" x14ac:dyDescent="0.5">
      <c r="A549" t="s">
        <v>1516</v>
      </c>
      <c r="B549" t="e">
        <f t="shared" si="8"/>
        <v>#VALUE!</v>
      </c>
      <c r="C549" t="s">
        <v>2077</v>
      </c>
      <c r="D549">
        <v>1</v>
      </c>
    </row>
    <row r="550" spans="1:4" x14ac:dyDescent="0.5">
      <c r="A550" t="s">
        <v>1517</v>
      </c>
      <c r="B550">
        <f t="shared" si="8"/>
        <v>1</v>
      </c>
      <c r="C550">
        <v>1</v>
      </c>
      <c r="D550">
        <v>0</v>
      </c>
    </row>
    <row r="551" spans="1:4" x14ac:dyDescent="0.5">
      <c r="A551" t="s">
        <v>1518</v>
      </c>
      <c r="B551">
        <f t="shared" si="8"/>
        <v>1.5</v>
      </c>
      <c r="C551">
        <v>1</v>
      </c>
      <c r="D551">
        <v>1</v>
      </c>
    </row>
    <row r="552" spans="1:4" x14ac:dyDescent="0.5">
      <c r="A552" t="s">
        <v>1519</v>
      </c>
      <c r="B552">
        <f t="shared" si="8"/>
        <v>1</v>
      </c>
      <c r="C552">
        <v>1</v>
      </c>
      <c r="D552">
        <v>0</v>
      </c>
    </row>
    <row r="553" spans="1:4" x14ac:dyDescent="0.5">
      <c r="A553" t="s">
        <v>1520</v>
      </c>
      <c r="B553">
        <f t="shared" si="8"/>
        <v>2</v>
      </c>
      <c r="C553">
        <v>2</v>
      </c>
      <c r="D553">
        <v>0</v>
      </c>
    </row>
    <row r="554" spans="1:4" x14ac:dyDescent="0.5">
      <c r="A554" t="s">
        <v>1035</v>
      </c>
      <c r="B554">
        <f t="shared" si="8"/>
        <v>2</v>
      </c>
      <c r="C554">
        <v>2</v>
      </c>
      <c r="D554">
        <v>0</v>
      </c>
    </row>
    <row r="555" spans="1:4" x14ac:dyDescent="0.5">
      <c r="A555" t="s">
        <v>1521</v>
      </c>
      <c r="B555">
        <f t="shared" si="8"/>
        <v>2</v>
      </c>
      <c r="C555">
        <v>2</v>
      </c>
      <c r="D555">
        <v>0</v>
      </c>
    </row>
    <row r="556" spans="1:4" x14ac:dyDescent="0.5">
      <c r="A556" t="s">
        <v>1522</v>
      </c>
      <c r="B556">
        <f t="shared" si="8"/>
        <v>1</v>
      </c>
      <c r="C556">
        <v>1</v>
      </c>
      <c r="D556">
        <v>0</v>
      </c>
    </row>
    <row r="557" spans="1:4" x14ac:dyDescent="0.5">
      <c r="A557" t="s">
        <v>1523</v>
      </c>
      <c r="B557">
        <f t="shared" si="8"/>
        <v>1</v>
      </c>
      <c r="C557">
        <v>1</v>
      </c>
      <c r="D557">
        <v>0</v>
      </c>
    </row>
    <row r="558" spans="1:4" x14ac:dyDescent="0.5">
      <c r="A558" t="s">
        <v>1524</v>
      </c>
      <c r="B558">
        <f t="shared" si="8"/>
        <v>1</v>
      </c>
      <c r="C558">
        <v>1</v>
      </c>
      <c r="D558">
        <v>0</v>
      </c>
    </row>
    <row r="559" spans="1:4" x14ac:dyDescent="0.5">
      <c r="A559" t="s">
        <v>1525</v>
      </c>
      <c r="B559">
        <f t="shared" si="8"/>
        <v>1</v>
      </c>
      <c r="C559">
        <v>1</v>
      </c>
      <c r="D559">
        <v>0</v>
      </c>
    </row>
    <row r="560" spans="1:4" x14ac:dyDescent="0.5">
      <c r="A560" t="s">
        <v>1526</v>
      </c>
      <c r="B560">
        <f t="shared" si="8"/>
        <v>1</v>
      </c>
      <c r="C560">
        <v>1</v>
      </c>
      <c r="D560">
        <v>0</v>
      </c>
    </row>
    <row r="561" spans="1:4" x14ac:dyDescent="0.5">
      <c r="A561" t="s">
        <v>80</v>
      </c>
      <c r="B561">
        <f t="shared" si="8"/>
        <v>1</v>
      </c>
      <c r="C561">
        <v>1</v>
      </c>
      <c r="D561">
        <v>0</v>
      </c>
    </row>
    <row r="562" spans="1:4" x14ac:dyDescent="0.5">
      <c r="A562" t="s">
        <v>1527</v>
      </c>
      <c r="B562">
        <f t="shared" si="8"/>
        <v>3</v>
      </c>
      <c r="C562">
        <v>3</v>
      </c>
      <c r="D562">
        <v>0</v>
      </c>
    </row>
    <row r="563" spans="1:4" x14ac:dyDescent="0.5">
      <c r="A563" t="s">
        <v>1529</v>
      </c>
      <c r="B563">
        <f t="shared" si="8"/>
        <v>2</v>
      </c>
      <c r="C563">
        <v>2</v>
      </c>
      <c r="D563">
        <v>0</v>
      </c>
    </row>
    <row r="564" spans="1:4" x14ac:dyDescent="0.5">
      <c r="A564" t="s">
        <v>1530</v>
      </c>
      <c r="B564">
        <f t="shared" si="8"/>
        <v>1</v>
      </c>
      <c r="C564">
        <v>1</v>
      </c>
      <c r="D564">
        <v>0</v>
      </c>
    </row>
    <row r="565" spans="1:4" x14ac:dyDescent="0.5">
      <c r="A565" t="s">
        <v>1531</v>
      </c>
      <c r="B565">
        <f t="shared" si="8"/>
        <v>2.5</v>
      </c>
      <c r="C565">
        <v>2</v>
      </c>
      <c r="D565">
        <v>1</v>
      </c>
    </row>
    <row r="566" spans="1:4" x14ac:dyDescent="0.5">
      <c r="A566" t="s">
        <v>1532</v>
      </c>
      <c r="B566">
        <f t="shared" si="8"/>
        <v>1</v>
      </c>
      <c r="C566">
        <v>1</v>
      </c>
      <c r="D566">
        <v>0</v>
      </c>
    </row>
    <row r="567" spans="1:4" x14ac:dyDescent="0.5">
      <c r="A567" t="s">
        <v>1533</v>
      </c>
      <c r="B567">
        <f t="shared" si="8"/>
        <v>2</v>
      </c>
      <c r="C567">
        <v>2</v>
      </c>
      <c r="D567">
        <v>0</v>
      </c>
    </row>
    <row r="568" spans="1:4" x14ac:dyDescent="0.5">
      <c r="A568" t="s">
        <v>1534</v>
      </c>
      <c r="B568">
        <f t="shared" si="8"/>
        <v>2.5</v>
      </c>
      <c r="C568">
        <v>2</v>
      </c>
      <c r="D568">
        <v>1</v>
      </c>
    </row>
    <row r="569" spans="1:4" x14ac:dyDescent="0.5">
      <c r="A569" t="s">
        <v>1535</v>
      </c>
      <c r="B569" t="e">
        <f t="shared" si="8"/>
        <v>#VALUE!</v>
      </c>
      <c r="C569" t="s">
        <v>2077</v>
      </c>
      <c r="D569">
        <v>0</v>
      </c>
    </row>
    <row r="570" spans="1:4" x14ac:dyDescent="0.5">
      <c r="A570" t="s">
        <v>1536</v>
      </c>
      <c r="B570">
        <f t="shared" si="8"/>
        <v>1</v>
      </c>
      <c r="C570">
        <v>1</v>
      </c>
      <c r="D570">
        <v>0</v>
      </c>
    </row>
    <row r="571" spans="1:4" x14ac:dyDescent="0.5">
      <c r="A571" t="s">
        <v>1537</v>
      </c>
      <c r="B571">
        <f t="shared" si="8"/>
        <v>1</v>
      </c>
      <c r="C571">
        <v>1</v>
      </c>
      <c r="D571">
        <v>0</v>
      </c>
    </row>
    <row r="572" spans="1:4" x14ac:dyDescent="0.5">
      <c r="A572" t="s">
        <v>1538</v>
      </c>
      <c r="B572">
        <f t="shared" si="8"/>
        <v>2</v>
      </c>
      <c r="C572">
        <v>2</v>
      </c>
      <c r="D572">
        <v>0</v>
      </c>
    </row>
    <row r="573" spans="1:4" x14ac:dyDescent="0.5">
      <c r="A573" t="s">
        <v>1539</v>
      </c>
      <c r="B573">
        <f t="shared" si="8"/>
        <v>1</v>
      </c>
      <c r="C573">
        <v>1</v>
      </c>
      <c r="D573">
        <v>0</v>
      </c>
    </row>
    <row r="574" spans="1:4" x14ac:dyDescent="0.5">
      <c r="A574" t="s">
        <v>1540</v>
      </c>
      <c r="B574" t="e">
        <f t="shared" si="8"/>
        <v>#VALUE!</v>
      </c>
      <c r="C574" t="s">
        <v>2077</v>
      </c>
      <c r="D574">
        <v>1</v>
      </c>
    </row>
    <row r="575" spans="1:4" x14ac:dyDescent="0.5">
      <c r="A575" t="s">
        <v>729</v>
      </c>
      <c r="B575">
        <f t="shared" si="8"/>
        <v>1</v>
      </c>
      <c r="C575">
        <v>1</v>
      </c>
      <c r="D575">
        <v>0</v>
      </c>
    </row>
    <row r="576" spans="1:4" x14ac:dyDescent="0.5">
      <c r="A576" t="s">
        <v>1541</v>
      </c>
      <c r="B576">
        <f t="shared" si="8"/>
        <v>1</v>
      </c>
      <c r="C576">
        <v>1</v>
      </c>
      <c r="D576">
        <v>0</v>
      </c>
    </row>
    <row r="577" spans="1:4" x14ac:dyDescent="0.5">
      <c r="A577" t="s">
        <v>1542</v>
      </c>
      <c r="B577">
        <f t="shared" si="8"/>
        <v>2</v>
      </c>
      <c r="C577">
        <v>2</v>
      </c>
      <c r="D577">
        <v>0</v>
      </c>
    </row>
    <row r="578" spans="1:4" x14ac:dyDescent="0.5">
      <c r="A578" t="s">
        <v>1543</v>
      </c>
      <c r="B578">
        <f t="shared" ref="B578:B641" si="9">SUM(C578 + 1/2*D578)</f>
        <v>1.5</v>
      </c>
      <c r="C578">
        <v>1</v>
      </c>
      <c r="D578">
        <v>1</v>
      </c>
    </row>
    <row r="579" spans="1:4" x14ac:dyDescent="0.5">
      <c r="A579" t="s">
        <v>1544</v>
      </c>
      <c r="B579">
        <f t="shared" si="9"/>
        <v>3</v>
      </c>
      <c r="C579">
        <v>3</v>
      </c>
      <c r="D579">
        <v>0</v>
      </c>
    </row>
    <row r="580" spans="1:4" x14ac:dyDescent="0.5">
      <c r="A580" t="s">
        <v>513</v>
      </c>
      <c r="B580">
        <f t="shared" si="9"/>
        <v>1</v>
      </c>
      <c r="C580">
        <v>1</v>
      </c>
      <c r="D580">
        <v>0</v>
      </c>
    </row>
    <row r="581" spans="1:4" x14ac:dyDescent="0.5">
      <c r="A581" t="s">
        <v>1545</v>
      </c>
      <c r="B581">
        <f t="shared" si="9"/>
        <v>1</v>
      </c>
      <c r="C581">
        <v>1</v>
      </c>
      <c r="D581">
        <v>0</v>
      </c>
    </row>
    <row r="582" spans="1:4" x14ac:dyDescent="0.5">
      <c r="A582" t="s">
        <v>1546</v>
      </c>
      <c r="B582">
        <f t="shared" si="9"/>
        <v>2</v>
      </c>
      <c r="C582">
        <v>2</v>
      </c>
      <c r="D582">
        <v>0</v>
      </c>
    </row>
    <row r="583" spans="1:4" x14ac:dyDescent="0.5">
      <c r="A583" t="s">
        <v>273</v>
      </c>
      <c r="B583">
        <f t="shared" si="9"/>
        <v>2.5</v>
      </c>
      <c r="C583">
        <v>2</v>
      </c>
      <c r="D583">
        <v>1</v>
      </c>
    </row>
    <row r="584" spans="1:4" x14ac:dyDescent="0.5">
      <c r="A584" t="s">
        <v>1547</v>
      </c>
      <c r="B584">
        <f t="shared" si="9"/>
        <v>1</v>
      </c>
      <c r="C584">
        <v>1</v>
      </c>
      <c r="D584">
        <v>0</v>
      </c>
    </row>
    <row r="585" spans="1:4" x14ac:dyDescent="0.5">
      <c r="A585" t="s">
        <v>1548</v>
      </c>
      <c r="B585">
        <f t="shared" si="9"/>
        <v>1</v>
      </c>
      <c r="C585">
        <v>1</v>
      </c>
      <c r="D585">
        <v>0</v>
      </c>
    </row>
    <row r="586" spans="1:4" x14ac:dyDescent="0.5">
      <c r="A586" t="s">
        <v>1549</v>
      </c>
      <c r="B586">
        <f t="shared" si="9"/>
        <v>2</v>
      </c>
      <c r="C586">
        <v>2</v>
      </c>
      <c r="D586">
        <v>0</v>
      </c>
    </row>
    <row r="587" spans="1:4" x14ac:dyDescent="0.5">
      <c r="A587" t="s">
        <v>1550</v>
      </c>
      <c r="B587">
        <f t="shared" si="9"/>
        <v>2</v>
      </c>
      <c r="C587">
        <v>2</v>
      </c>
      <c r="D587">
        <v>0</v>
      </c>
    </row>
    <row r="588" spans="1:4" x14ac:dyDescent="0.5">
      <c r="A588" t="s">
        <v>1551</v>
      </c>
      <c r="B588">
        <f t="shared" si="9"/>
        <v>3.5</v>
      </c>
      <c r="C588">
        <v>3</v>
      </c>
      <c r="D588">
        <v>1</v>
      </c>
    </row>
    <row r="589" spans="1:4" x14ac:dyDescent="0.5">
      <c r="A589" t="s">
        <v>1552</v>
      </c>
      <c r="B589" t="e">
        <f t="shared" si="9"/>
        <v>#VALUE!</v>
      </c>
      <c r="C589" t="s">
        <v>2077</v>
      </c>
      <c r="D589">
        <v>1</v>
      </c>
    </row>
    <row r="590" spans="1:4" x14ac:dyDescent="0.5">
      <c r="A590" t="s">
        <v>1553</v>
      </c>
      <c r="B590">
        <f t="shared" si="9"/>
        <v>1</v>
      </c>
      <c r="C590">
        <v>1</v>
      </c>
      <c r="D590">
        <v>0</v>
      </c>
    </row>
    <row r="591" spans="1:4" x14ac:dyDescent="0.5">
      <c r="A591" t="s">
        <v>1554</v>
      </c>
      <c r="B591">
        <f t="shared" si="9"/>
        <v>1</v>
      </c>
      <c r="C591">
        <v>1</v>
      </c>
      <c r="D591">
        <v>0</v>
      </c>
    </row>
    <row r="592" spans="1:4" x14ac:dyDescent="0.5">
      <c r="A592" t="s">
        <v>1555</v>
      </c>
      <c r="B592">
        <f t="shared" si="9"/>
        <v>1</v>
      </c>
      <c r="C592">
        <v>1</v>
      </c>
      <c r="D592">
        <v>0</v>
      </c>
    </row>
    <row r="593" spans="1:4" x14ac:dyDescent="0.5">
      <c r="A593" t="s">
        <v>834</v>
      </c>
      <c r="B593">
        <f t="shared" si="9"/>
        <v>1</v>
      </c>
      <c r="C593">
        <v>1</v>
      </c>
      <c r="D593">
        <v>0</v>
      </c>
    </row>
    <row r="594" spans="1:4" x14ac:dyDescent="0.5">
      <c r="A594" t="s">
        <v>1556</v>
      </c>
      <c r="B594">
        <f t="shared" si="9"/>
        <v>2.5</v>
      </c>
      <c r="C594">
        <v>2</v>
      </c>
      <c r="D594">
        <v>1</v>
      </c>
    </row>
    <row r="595" spans="1:4" x14ac:dyDescent="0.5">
      <c r="A595" t="s">
        <v>1557</v>
      </c>
      <c r="B595">
        <f t="shared" si="9"/>
        <v>1</v>
      </c>
      <c r="C595">
        <v>1</v>
      </c>
      <c r="D595">
        <v>0</v>
      </c>
    </row>
    <row r="596" spans="1:4" x14ac:dyDescent="0.5">
      <c r="A596" t="s">
        <v>1558</v>
      </c>
      <c r="B596">
        <f t="shared" si="9"/>
        <v>2.5</v>
      </c>
      <c r="C596">
        <v>2</v>
      </c>
      <c r="D596">
        <v>1</v>
      </c>
    </row>
    <row r="597" spans="1:4" x14ac:dyDescent="0.5">
      <c r="A597" t="s">
        <v>1559</v>
      </c>
      <c r="B597">
        <f t="shared" si="9"/>
        <v>2</v>
      </c>
      <c r="C597">
        <v>2</v>
      </c>
      <c r="D597">
        <v>0</v>
      </c>
    </row>
    <row r="598" spans="1:4" x14ac:dyDescent="0.5">
      <c r="A598" t="s">
        <v>236</v>
      </c>
      <c r="B598">
        <f t="shared" si="9"/>
        <v>1</v>
      </c>
      <c r="C598">
        <v>1</v>
      </c>
      <c r="D598">
        <v>0</v>
      </c>
    </row>
    <row r="599" spans="1:4" x14ac:dyDescent="0.5">
      <c r="A599" t="s">
        <v>1560</v>
      </c>
      <c r="B599">
        <f t="shared" si="9"/>
        <v>1</v>
      </c>
      <c r="C599">
        <v>1</v>
      </c>
      <c r="D599">
        <v>0</v>
      </c>
    </row>
    <row r="600" spans="1:4" x14ac:dyDescent="0.5">
      <c r="A600" t="s">
        <v>1561</v>
      </c>
      <c r="B600">
        <f t="shared" si="9"/>
        <v>3.5</v>
      </c>
      <c r="C600">
        <v>3</v>
      </c>
      <c r="D600">
        <v>1</v>
      </c>
    </row>
    <row r="601" spans="1:4" x14ac:dyDescent="0.5">
      <c r="A601" t="s">
        <v>1562</v>
      </c>
      <c r="B601">
        <f t="shared" si="9"/>
        <v>3.5</v>
      </c>
      <c r="C601">
        <v>3</v>
      </c>
      <c r="D601">
        <v>1</v>
      </c>
    </row>
    <row r="602" spans="1:4" x14ac:dyDescent="0.5">
      <c r="A602" t="s">
        <v>222</v>
      </c>
      <c r="B602">
        <f t="shared" si="9"/>
        <v>2.5</v>
      </c>
      <c r="C602">
        <v>2</v>
      </c>
      <c r="D602">
        <v>1</v>
      </c>
    </row>
    <row r="603" spans="1:4" x14ac:dyDescent="0.5">
      <c r="A603" t="s">
        <v>1563</v>
      </c>
      <c r="B603">
        <f t="shared" si="9"/>
        <v>1</v>
      </c>
      <c r="C603">
        <v>1</v>
      </c>
      <c r="D603">
        <v>0</v>
      </c>
    </row>
    <row r="604" spans="1:4" x14ac:dyDescent="0.5">
      <c r="A604" t="s">
        <v>336</v>
      </c>
      <c r="B604">
        <f t="shared" si="9"/>
        <v>3</v>
      </c>
      <c r="C604">
        <v>3</v>
      </c>
      <c r="D604">
        <v>0</v>
      </c>
    </row>
    <row r="605" spans="1:4" x14ac:dyDescent="0.5">
      <c r="A605" t="s">
        <v>1564</v>
      </c>
      <c r="B605">
        <f t="shared" si="9"/>
        <v>1</v>
      </c>
      <c r="C605">
        <v>1</v>
      </c>
      <c r="D605">
        <v>0</v>
      </c>
    </row>
    <row r="606" spans="1:4" x14ac:dyDescent="0.5">
      <c r="A606" t="s">
        <v>1565</v>
      </c>
      <c r="B606">
        <f t="shared" si="9"/>
        <v>2</v>
      </c>
      <c r="C606">
        <v>2</v>
      </c>
      <c r="D606">
        <v>0</v>
      </c>
    </row>
    <row r="607" spans="1:4" x14ac:dyDescent="0.5">
      <c r="A607" t="s">
        <v>1566</v>
      </c>
      <c r="B607">
        <f t="shared" si="9"/>
        <v>2</v>
      </c>
      <c r="C607">
        <v>2</v>
      </c>
      <c r="D607">
        <v>0</v>
      </c>
    </row>
    <row r="608" spans="1:4" x14ac:dyDescent="0.5">
      <c r="A608" t="s">
        <v>1567</v>
      </c>
      <c r="B608">
        <f t="shared" si="9"/>
        <v>2</v>
      </c>
      <c r="C608">
        <v>2</v>
      </c>
      <c r="D608">
        <v>0</v>
      </c>
    </row>
    <row r="609" spans="1:4" x14ac:dyDescent="0.5">
      <c r="A609" t="s">
        <v>1568</v>
      </c>
      <c r="B609">
        <f t="shared" si="9"/>
        <v>2.5</v>
      </c>
      <c r="C609">
        <v>2</v>
      </c>
      <c r="D609">
        <v>1</v>
      </c>
    </row>
    <row r="610" spans="1:4" x14ac:dyDescent="0.5">
      <c r="A610" t="s">
        <v>1569</v>
      </c>
      <c r="B610">
        <f t="shared" si="9"/>
        <v>1</v>
      </c>
      <c r="C610">
        <v>1</v>
      </c>
      <c r="D610">
        <v>0</v>
      </c>
    </row>
    <row r="611" spans="1:4" x14ac:dyDescent="0.5">
      <c r="A611" t="s">
        <v>1570</v>
      </c>
      <c r="B611">
        <f t="shared" si="9"/>
        <v>1</v>
      </c>
      <c r="C611">
        <v>1</v>
      </c>
      <c r="D611">
        <v>0</v>
      </c>
    </row>
    <row r="612" spans="1:4" x14ac:dyDescent="0.5">
      <c r="A612" t="s">
        <v>1571</v>
      </c>
      <c r="B612">
        <f t="shared" si="9"/>
        <v>2</v>
      </c>
      <c r="C612">
        <v>2</v>
      </c>
      <c r="D612">
        <v>0</v>
      </c>
    </row>
    <row r="613" spans="1:4" x14ac:dyDescent="0.5">
      <c r="A613" t="s">
        <v>1572</v>
      </c>
      <c r="B613">
        <f t="shared" si="9"/>
        <v>1</v>
      </c>
      <c r="C613">
        <v>1</v>
      </c>
      <c r="D613">
        <v>0</v>
      </c>
    </row>
    <row r="614" spans="1:4" x14ac:dyDescent="0.5">
      <c r="A614" t="s">
        <v>1573</v>
      </c>
      <c r="B614">
        <f t="shared" si="9"/>
        <v>2.5</v>
      </c>
      <c r="C614">
        <v>2</v>
      </c>
      <c r="D614">
        <v>1</v>
      </c>
    </row>
    <row r="615" spans="1:4" x14ac:dyDescent="0.5">
      <c r="A615" t="s">
        <v>1574</v>
      </c>
      <c r="B615">
        <f t="shared" si="9"/>
        <v>2.5</v>
      </c>
      <c r="C615">
        <v>2</v>
      </c>
      <c r="D615">
        <v>1</v>
      </c>
    </row>
    <row r="616" spans="1:4" x14ac:dyDescent="0.5">
      <c r="A616" t="s">
        <v>1575</v>
      </c>
      <c r="B616">
        <f t="shared" si="9"/>
        <v>1</v>
      </c>
      <c r="C616">
        <v>1</v>
      </c>
      <c r="D616">
        <v>0</v>
      </c>
    </row>
    <row r="617" spans="1:4" x14ac:dyDescent="0.5">
      <c r="A617" t="s">
        <v>1576</v>
      </c>
      <c r="B617">
        <f t="shared" si="9"/>
        <v>1</v>
      </c>
      <c r="C617">
        <v>1</v>
      </c>
      <c r="D617">
        <v>0</v>
      </c>
    </row>
    <row r="618" spans="1:4" x14ac:dyDescent="0.5">
      <c r="A618" t="s">
        <v>1577</v>
      </c>
      <c r="B618">
        <f t="shared" si="9"/>
        <v>2</v>
      </c>
      <c r="C618">
        <v>2</v>
      </c>
      <c r="D618">
        <v>0</v>
      </c>
    </row>
    <row r="619" spans="1:4" x14ac:dyDescent="0.5">
      <c r="A619" t="s">
        <v>914</v>
      </c>
      <c r="B619">
        <f t="shared" si="9"/>
        <v>1</v>
      </c>
      <c r="C619">
        <v>1</v>
      </c>
      <c r="D619">
        <v>0</v>
      </c>
    </row>
    <row r="620" spans="1:4" x14ac:dyDescent="0.5">
      <c r="A620" t="s">
        <v>1578</v>
      </c>
      <c r="B620">
        <f t="shared" si="9"/>
        <v>1</v>
      </c>
      <c r="C620">
        <v>1</v>
      </c>
      <c r="D620">
        <v>0</v>
      </c>
    </row>
    <row r="621" spans="1:4" x14ac:dyDescent="0.5">
      <c r="A621" t="s">
        <v>1579</v>
      </c>
      <c r="B621">
        <f t="shared" si="9"/>
        <v>2</v>
      </c>
      <c r="C621">
        <v>2</v>
      </c>
      <c r="D621">
        <v>0</v>
      </c>
    </row>
    <row r="622" spans="1:4" x14ac:dyDescent="0.5">
      <c r="A622" t="s">
        <v>542</v>
      </c>
      <c r="B622">
        <f t="shared" si="9"/>
        <v>1</v>
      </c>
      <c r="C622">
        <v>1</v>
      </c>
      <c r="D622">
        <v>0</v>
      </c>
    </row>
    <row r="623" spans="1:4" x14ac:dyDescent="0.5">
      <c r="A623" t="s">
        <v>1580</v>
      </c>
      <c r="B623">
        <f t="shared" si="9"/>
        <v>1</v>
      </c>
      <c r="C623">
        <v>1</v>
      </c>
      <c r="D623">
        <v>0</v>
      </c>
    </row>
    <row r="624" spans="1:4" x14ac:dyDescent="0.5">
      <c r="A624" t="s">
        <v>1581</v>
      </c>
      <c r="B624">
        <f t="shared" si="9"/>
        <v>1</v>
      </c>
      <c r="C624">
        <v>1</v>
      </c>
      <c r="D624">
        <v>0</v>
      </c>
    </row>
    <row r="625" spans="1:4" x14ac:dyDescent="0.5">
      <c r="A625" t="s">
        <v>1582</v>
      </c>
      <c r="B625">
        <f t="shared" si="9"/>
        <v>2.5</v>
      </c>
      <c r="C625">
        <v>2</v>
      </c>
      <c r="D625">
        <v>1</v>
      </c>
    </row>
    <row r="626" spans="1:4" x14ac:dyDescent="0.5">
      <c r="A626" t="s">
        <v>1583</v>
      </c>
      <c r="B626">
        <f t="shared" si="9"/>
        <v>3</v>
      </c>
      <c r="C626">
        <v>3</v>
      </c>
      <c r="D626">
        <v>0</v>
      </c>
    </row>
    <row r="627" spans="1:4" x14ac:dyDescent="0.5">
      <c r="A627" t="s">
        <v>1584</v>
      </c>
      <c r="B627">
        <f t="shared" si="9"/>
        <v>1</v>
      </c>
      <c r="C627">
        <v>1</v>
      </c>
      <c r="D627">
        <v>0</v>
      </c>
    </row>
    <row r="628" spans="1:4" x14ac:dyDescent="0.5">
      <c r="A628" t="s">
        <v>1585</v>
      </c>
      <c r="B628">
        <f t="shared" si="9"/>
        <v>2.5</v>
      </c>
      <c r="C628">
        <v>2</v>
      </c>
      <c r="D628">
        <v>1</v>
      </c>
    </row>
    <row r="629" spans="1:4" x14ac:dyDescent="0.5">
      <c r="A629" t="s">
        <v>1586</v>
      </c>
      <c r="B629">
        <f t="shared" si="9"/>
        <v>1</v>
      </c>
      <c r="C629">
        <v>1</v>
      </c>
      <c r="D629">
        <v>0</v>
      </c>
    </row>
    <row r="630" spans="1:4" x14ac:dyDescent="0.5">
      <c r="A630" t="s">
        <v>1587</v>
      </c>
      <c r="B630">
        <f t="shared" si="9"/>
        <v>1</v>
      </c>
      <c r="C630">
        <v>1</v>
      </c>
      <c r="D630">
        <v>0</v>
      </c>
    </row>
    <row r="631" spans="1:4" x14ac:dyDescent="0.5">
      <c r="A631" t="s">
        <v>1588</v>
      </c>
      <c r="B631">
        <f t="shared" si="9"/>
        <v>1</v>
      </c>
      <c r="C631">
        <v>1</v>
      </c>
      <c r="D631">
        <v>0</v>
      </c>
    </row>
    <row r="632" spans="1:4" x14ac:dyDescent="0.5">
      <c r="A632" t="s">
        <v>1589</v>
      </c>
      <c r="B632">
        <f t="shared" si="9"/>
        <v>2</v>
      </c>
      <c r="C632">
        <v>2</v>
      </c>
      <c r="D632">
        <v>0</v>
      </c>
    </row>
    <row r="633" spans="1:4" x14ac:dyDescent="0.5">
      <c r="A633" t="s">
        <v>1590</v>
      </c>
      <c r="B633">
        <f t="shared" si="9"/>
        <v>1</v>
      </c>
      <c r="C633">
        <v>1</v>
      </c>
      <c r="D633">
        <v>0</v>
      </c>
    </row>
    <row r="634" spans="1:4" x14ac:dyDescent="0.5">
      <c r="A634" t="s">
        <v>1591</v>
      </c>
      <c r="B634">
        <f t="shared" si="9"/>
        <v>2.5</v>
      </c>
      <c r="C634">
        <v>2</v>
      </c>
      <c r="D634">
        <v>1</v>
      </c>
    </row>
    <row r="635" spans="1:4" x14ac:dyDescent="0.5">
      <c r="A635" t="s">
        <v>1592</v>
      </c>
      <c r="B635">
        <f t="shared" si="9"/>
        <v>1.5</v>
      </c>
      <c r="C635">
        <v>1</v>
      </c>
      <c r="D635">
        <v>1</v>
      </c>
    </row>
    <row r="636" spans="1:4" x14ac:dyDescent="0.5">
      <c r="A636" t="s">
        <v>1593</v>
      </c>
      <c r="B636">
        <f t="shared" si="9"/>
        <v>2</v>
      </c>
      <c r="C636">
        <v>2</v>
      </c>
      <c r="D636">
        <v>0</v>
      </c>
    </row>
    <row r="637" spans="1:4" x14ac:dyDescent="0.5">
      <c r="A637" t="s">
        <v>1055</v>
      </c>
      <c r="B637">
        <f t="shared" si="9"/>
        <v>1.5</v>
      </c>
      <c r="C637">
        <v>1</v>
      </c>
      <c r="D637">
        <v>1</v>
      </c>
    </row>
    <row r="638" spans="1:4" x14ac:dyDescent="0.5">
      <c r="A638" t="s">
        <v>723</v>
      </c>
      <c r="B638">
        <f t="shared" si="9"/>
        <v>1</v>
      </c>
      <c r="C638">
        <v>1</v>
      </c>
      <c r="D638">
        <v>0</v>
      </c>
    </row>
    <row r="639" spans="1:4" x14ac:dyDescent="0.5">
      <c r="A639" t="s">
        <v>1594</v>
      </c>
      <c r="B639">
        <f t="shared" si="9"/>
        <v>1</v>
      </c>
      <c r="C639">
        <v>1</v>
      </c>
      <c r="D639">
        <v>0</v>
      </c>
    </row>
    <row r="640" spans="1:4" x14ac:dyDescent="0.5">
      <c r="A640" t="s">
        <v>897</v>
      </c>
      <c r="B640">
        <f t="shared" si="9"/>
        <v>2</v>
      </c>
      <c r="C640">
        <v>2</v>
      </c>
      <c r="D640">
        <v>0</v>
      </c>
    </row>
    <row r="641" spans="1:4" x14ac:dyDescent="0.5">
      <c r="A641" t="s">
        <v>374</v>
      </c>
      <c r="B641">
        <f t="shared" si="9"/>
        <v>1</v>
      </c>
      <c r="C641">
        <v>1</v>
      </c>
      <c r="D641">
        <v>0</v>
      </c>
    </row>
    <row r="642" spans="1:4" x14ac:dyDescent="0.5">
      <c r="A642" t="s">
        <v>387</v>
      </c>
      <c r="B642">
        <f t="shared" ref="B642:B705" si="10">SUM(C642 + 1/2*D642)</f>
        <v>1</v>
      </c>
      <c r="C642">
        <v>1</v>
      </c>
      <c r="D642">
        <v>0</v>
      </c>
    </row>
    <row r="643" spans="1:4" x14ac:dyDescent="0.5">
      <c r="A643" t="s">
        <v>389</v>
      </c>
      <c r="B643">
        <f t="shared" si="10"/>
        <v>1</v>
      </c>
      <c r="C643">
        <v>1</v>
      </c>
      <c r="D643">
        <v>0</v>
      </c>
    </row>
    <row r="644" spans="1:4" x14ac:dyDescent="0.5">
      <c r="A644" t="s">
        <v>405</v>
      </c>
      <c r="B644">
        <f t="shared" si="10"/>
        <v>1</v>
      </c>
      <c r="C644">
        <v>1</v>
      </c>
      <c r="D644">
        <v>0</v>
      </c>
    </row>
    <row r="645" spans="1:4" x14ac:dyDescent="0.5">
      <c r="A645" t="s">
        <v>409</v>
      </c>
      <c r="B645">
        <f t="shared" si="10"/>
        <v>1</v>
      </c>
      <c r="C645">
        <v>1</v>
      </c>
      <c r="D645">
        <v>0</v>
      </c>
    </row>
    <row r="646" spans="1:4" x14ac:dyDescent="0.5">
      <c r="A646" t="s">
        <v>1595</v>
      </c>
      <c r="B646">
        <f t="shared" si="10"/>
        <v>1</v>
      </c>
      <c r="C646">
        <v>1</v>
      </c>
      <c r="D646">
        <v>0</v>
      </c>
    </row>
    <row r="647" spans="1:4" x14ac:dyDescent="0.5">
      <c r="A647" t="s">
        <v>394</v>
      </c>
      <c r="B647">
        <f t="shared" si="10"/>
        <v>1</v>
      </c>
      <c r="C647">
        <v>1</v>
      </c>
      <c r="D647">
        <v>0</v>
      </c>
    </row>
    <row r="648" spans="1:4" x14ac:dyDescent="0.5">
      <c r="A648" t="s">
        <v>398</v>
      </c>
      <c r="B648">
        <f t="shared" si="10"/>
        <v>1</v>
      </c>
      <c r="C648">
        <v>1</v>
      </c>
      <c r="D648">
        <v>0</v>
      </c>
    </row>
    <row r="649" spans="1:4" x14ac:dyDescent="0.5">
      <c r="A649" t="s">
        <v>404</v>
      </c>
      <c r="B649">
        <f t="shared" si="10"/>
        <v>1</v>
      </c>
      <c r="C649">
        <v>1</v>
      </c>
      <c r="D649">
        <v>0</v>
      </c>
    </row>
    <row r="650" spans="1:4" x14ac:dyDescent="0.5">
      <c r="A650" t="s">
        <v>1596</v>
      </c>
      <c r="B650" t="e">
        <f t="shared" si="10"/>
        <v>#VALUE!</v>
      </c>
      <c r="C650" t="s">
        <v>2077</v>
      </c>
      <c r="D650">
        <v>0</v>
      </c>
    </row>
    <row r="651" spans="1:4" x14ac:dyDescent="0.5">
      <c r="A651" t="s">
        <v>1597</v>
      </c>
      <c r="B651">
        <f t="shared" si="10"/>
        <v>2</v>
      </c>
      <c r="C651">
        <v>2</v>
      </c>
      <c r="D651">
        <v>0</v>
      </c>
    </row>
    <row r="652" spans="1:4" x14ac:dyDescent="0.5">
      <c r="A652" t="s">
        <v>1598</v>
      </c>
      <c r="B652">
        <f t="shared" si="10"/>
        <v>2</v>
      </c>
      <c r="C652">
        <v>2</v>
      </c>
      <c r="D652">
        <v>0</v>
      </c>
    </row>
    <row r="653" spans="1:4" x14ac:dyDescent="0.5">
      <c r="A653" t="s">
        <v>910</v>
      </c>
      <c r="B653" t="e">
        <f t="shared" si="10"/>
        <v>#VALUE!</v>
      </c>
      <c r="C653" t="s">
        <v>2077</v>
      </c>
      <c r="D653">
        <v>1</v>
      </c>
    </row>
    <row r="654" spans="1:4" x14ac:dyDescent="0.5">
      <c r="A654" t="s">
        <v>1599</v>
      </c>
      <c r="B654">
        <f t="shared" si="10"/>
        <v>1</v>
      </c>
      <c r="C654">
        <v>1</v>
      </c>
      <c r="D654">
        <v>0</v>
      </c>
    </row>
    <row r="655" spans="1:4" x14ac:dyDescent="0.5">
      <c r="A655" t="s">
        <v>1600</v>
      </c>
      <c r="B655">
        <f t="shared" si="10"/>
        <v>3.5</v>
      </c>
      <c r="C655">
        <v>3</v>
      </c>
      <c r="D655">
        <v>1</v>
      </c>
    </row>
    <row r="656" spans="1:4" x14ac:dyDescent="0.5">
      <c r="A656" t="s">
        <v>1601</v>
      </c>
      <c r="B656">
        <f t="shared" si="10"/>
        <v>1</v>
      </c>
      <c r="C656">
        <v>1</v>
      </c>
      <c r="D656">
        <v>0</v>
      </c>
    </row>
    <row r="657" spans="1:4" x14ac:dyDescent="0.5">
      <c r="A657" t="s">
        <v>1602</v>
      </c>
      <c r="B657">
        <f t="shared" si="10"/>
        <v>1</v>
      </c>
      <c r="C657">
        <v>1</v>
      </c>
      <c r="D657">
        <v>0</v>
      </c>
    </row>
    <row r="658" spans="1:4" x14ac:dyDescent="0.5">
      <c r="A658" t="s">
        <v>1603</v>
      </c>
      <c r="B658">
        <f t="shared" si="10"/>
        <v>1</v>
      </c>
      <c r="C658">
        <v>1</v>
      </c>
      <c r="D658">
        <v>0</v>
      </c>
    </row>
    <row r="659" spans="1:4" x14ac:dyDescent="0.5">
      <c r="A659" t="s">
        <v>475</v>
      </c>
      <c r="B659">
        <f t="shared" si="10"/>
        <v>1</v>
      </c>
      <c r="C659">
        <v>1</v>
      </c>
      <c r="D659">
        <v>0</v>
      </c>
    </row>
    <row r="660" spans="1:4" x14ac:dyDescent="0.5">
      <c r="A660" t="s">
        <v>1604</v>
      </c>
      <c r="B660">
        <f t="shared" si="10"/>
        <v>1</v>
      </c>
      <c r="C660">
        <v>1</v>
      </c>
      <c r="D660">
        <v>0</v>
      </c>
    </row>
    <row r="661" spans="1:4" x14ac:dyDescent="0.5">
      <c r="A661" t="s">
        <v>1605</v>
      </c>
      <c r="B661">
        <f t="shared" si="10"/>
        <v>2</v>
      </c>
      <c r="C661">
        <v>2</v>
      </c>
      <c r="D661">
        <v>0</v>
      </c>
    </row>
    <row r="662" spans="1:4" x14ac:dyDescent="0.5">
      <c r="A662" t="s">
        <v>1606</v>
      </c>
      <c r="B662">
        <f t="shared" si="10"/>
        <v>1</v>
      </c>
      <c r="C662">
        <v>1</v>
      </c>
      <c r="D662">
        <v>0</v>
      </c>
    </row>
    <row r="663" spans="1:4" x14ac:dyDescent="0.5">
      <c r="A663" t="s">
        <v>262</v>
      </c>
      <c r="B663">
        <f t="shared" si="10"/>
        <v>2.5</v>
      </c>
      <c r="C663">
        <v>2</v>
      </c>
      <c r="D663">
        <v>1</v>
      </c>
    </row>
    <row r="664" spans="1:4" x14ac:dyDescent="0.5">
      <c r="A664" t="s">
        <v>1607</v>
      </c>
      <c r="B664">
        <f t="shared" si="10"/>
        <v>2</v>
      </c>
      <c r="C664">
        <v>2</v>
      </c>
      <c r="D664">
        <v>0</v>
      </c>
    </row>
    <row r="665" spans="1:4" x14ac:dyDescent="0.5">
      <c r="A665" t="s">
        <v>756</v>
      </c>
      <c r="B665">
        <f t="shared" si="10"/>
        <v>1</v>
      </c>
      <c r="C665">
        <v>1</v>
      </c>
      <c r="D665">
        <v>0</v>
      </c>
    </row>
    <row r="666" spans="1:4" x14ac:dyDescent="0.5">
      <c r="A666" t="s">
        <v>1608</v>
      </c>
      <c r="B666">
        <f t="shared" si="10"/>
        <v>2</v>
      </c>
      <c r="C666">
        <v>2</v>
      </c>
      <c r="D666">
        <v>0</v>
      </c>
    </row>
    <row r="667" spans="1:4" x14ac:dyDescent="0.5">
      <c r="A667" t="s">
        <v>1609</v>
      </c>
      <c r="B667">
        <f t="shared" si="10"/>
        <v>1</v>
      </c>
      <c r="C667">
        <v>1</v>
      </c>
      <c r="D667">
        <v>0</v>
      </c>
    </row>
    <row r="668" spans="1:4" x14ac:dyDescent="0.5">
      <c r="A668" t="s">
        <v>1610</v>
      </c>
      <c r="B668">
        <f t="shared" si="10"/>
        <v>1</v>
      </c>
      <c r="C668">
        <v>1</v>
      </c>
      <c r="D668">
        <v>0</v>
      </c>
    </row>
    <row r="669" spans="1:4" x14ac:dyDescent="0.5">
      <c r="A669" t="s">
        <v>1611</v>
      </c>
      <c r="B669">
        <f t="shared" si="10"/>
        <v>3.5</v>
      </c>
      <c r="C669">
        <v>3</v>
      </c>
      <c r="D669">
        <v>1</v>
      </c>
    </row>
    <row r="670" spans="1:4" x14ac:dyDescent="0.5">
      <c r="A670" t="s">
        <v>1612</v>
      </c>
      <c r="B670">
        <f t="shared" si="10"/>
        <v>2</v>
      </c>
      <c r="C670">
        <v>2</v>
      </c>
      <c r="D670">
        <v>0</v>
      </c>
    </row>
    <row r="671" spans="1:4" x14ac:dyDescent="0.5">
      <c r="A671" t="s">
        <v>1613</v>
      </c>
      <c r="B671">
        <f t="shared" si="10"/>
        <v>1</v>
      </c>
      <c r="C671">
        <v>1</v>
      </c>
      <c r="D671">
        <v>0</v>
      </c>
    </row>
    <row r="672" spans="1:4" x14ac:dyDescent="0.5">
      <c r="A672" t="s">
        <v>1614</v>
      </c>
      <c r="B672">
        <f t="shared" si="10"/>
        <v>1</v>
      </c>
      <c r="C672">
        <v>1</v>
      </c>
      <c r="D672">
        <v>0</v>
      </c>
    </row>
    <row r="673" spans="1:4" x14ac:dyDescent="0.5">
      <c r="A673" t="s">
        <v>1615</v>
      </c>
      <c r="B673">
        <f t="shared" si="10"/>
        <v>1</v>
      </c>
      <c r="C673">
        <v>1</v>
      </c>
      <c r="D673">
        <v>0</v>
      </c>
    </row>
    <row r="674" spans="1:4" x14ac:dyDescent="0.5">
      <c r="A674" t="s">
        <v>1616</v>
      </c>
      <c r="B674">
        <f t="shared" si="10"/>
        <v>1</v>
      </c>
      <c r="C674">
        <v>1</v>
      </c>
      <c r="D674">
        <v>0</v>
      </c>
    </row>
    <row r="675" spans="1:4" x14ac:dyDescent="0.5">
      <c r="A675" t="s">
        <v>1617</v>
      </c>
      <c r="B675">
        <f t="shared" si="10"/>
        <v>1</v>
      </c>
      <c r="C675">
        <v>1</v>
      </c>
      <c r="D675">
        <v>0</v>
      </c>
    </row>
    <row r="676" spans="1:4" x14ac:dyDescent="0.5">
      <c r="A676" t="s">
        <v>1618</v>
      </c>
      <c r="B676">
        <f t="shared" si="10"/>
        <v>2</v>
      </c>
      <c r="C676">
        <v>2</v>
      </c>
      <c r="D676">
        <v>0</v>
      </c>
    </row>
    <row r="677" spans="1:4" x14ac:dyDescent="0.5">
      <c r="A677" t="s">
        <v>1619</v>
      </c>
      <c r="B677">
        <f t="shared" si="10"/>
        <v>2.5</v>
      </c>
      <c r="C677">
        <v>2</v>
      </c>
      <c r="D677">
        <v>1</v>
      </c>
    </row>
    <row r="678" spans="1:4" x14ac:dyDescent="0.5">
      <c r="A678" t="s">
        <v>1620</v>
      </c>
      <c r="B678">
        <f t="shared" si="10"/>
        <v>2.5</v>
      </c>
      <c r="C678">
        <v>2</v>
      </c>
      <c r="D678">
        <v>1</v>
      </c>
    </row>
    <row r="679" spans="1:4" x14ac:dyDescent="0.5">
      <c r="A679" t="s">
        <v>1621</v>
      </c>
      <c r="B679">
        <f t="shared" si="10"/>
        <v>2.5</v>
      </c>
      <c r="C679">
        <v>2</v>
      </c>
      <c r="D679">
        <v>1</v>
      </c>
    </row>
    <row r="680" spans="1:4" x14ac:dyDescent="0.5">
      <c r="A680" t="s">
        <v>1622</v>
      </c>
      <c r="B680">
        <f t="shared" si="10"/>
        <v>3</v>
      </c>
      <c r="C680">
        <v>2</v>
      </c>
      <c r="D680">
        <v>2</v>
      </c>
    </row>
    <row r="681" spans="1:4" x14ac:dyDescent="0.5">
      <c r="A681" t="s">
        <v>1080</v>
      </c>
      <c r="B681">
        <f t="shared" si="10"/>
        <v>1</v>
      </c>
      <c r="C681">
        <v>1</v>
      </c>
      <c r="D681">
        <v>0</v>
      </c>
    </row>
    <row r="682" spans="1:4" x14ac:dyDescent="0.5">
      <c r="A682" t="s">
        <v>1623</v>
      </c>
      <c r="B682">
        <f t="shared" si="10"/>
        <v>1</v>
      </c>
      <c r="C682">
        <v>1</v>
      </c>
      <c r="D682">
        <v>0</v>
      </c>
    </row>
    <row r="683" spans="1:4" x14ac:dyDescent="0.5">
      <c r="A683" t="s">
        <v>1624</v>
      </c>
      <c r="B683">
        <f t="shared" si="10"/>
        <v>1</v>
      </c>
      <c r="C683">
        <v>1</v>
      </c>
      <c r="D683">
        <v>0</v>
      </c>
    </row>
    <row r="684" spans="1:4" x14ac:dyDescent="0.5">
      <c r="A684" t="s">
        <v>1625</v>
      </c>
      <c r="B684">
        <f t="shared" si="10"/>
        <v>2</v>
      </c>
      <c r="C684">
        <v>2</v>
      </c>
      <c r="D684">
        <v>0</v>
      </c>
    </row>
    <row r="685" spans="1:4" x14ac:dyDescent="0.5">
      <c r="A685" t="s">
        <v>1626</v>
      </c>
      <c r="B685">
        <f t="shared" si="10"/>
        <v>1</v>
      </c>
      <c r="C685">
        <v>1</v>
      </c>
      <c r="D685">
        <v>0</v>
      </c>
    </row>
    <row r="686" spans="1:4" x14ac:dyDescent="0.5">
      <c r="A686" t="s">
        <v>1627</v>
      </c>
      <c r="B686">
        <f t="shared" si="10"/>
        <v>2.5</v>
      </c>
      <c r="C686">
        <v>2</v>
      </c>
      <c r="D686">
        <v>1</v>
      </c>
    </row>
    <row r="687" spans="1:4" x14ac:dyDescent="0.5">
      <c r="A687" t="s">
        <v>1628</v>
      </c>
      <c r="B687">
        <f t="shared" si="10"/>
        <v>1</v>
      </c>
      <c r="C687">
        <v>1</v>
      </c>
      <c r="D687">
        <v>0</v>
      </c>
    </row>
    <row r="688" spans="1:4" x14ac:dyDescent="0.5">
      <c r="A688" t="s">
        <v>1629</v>
      </c>
      <c r="B688">
        <f t="shared" si="10"/>
        <v>1</v>
      </c>
      <c r="C688">
        <v>1</v>
      </c>
      <c r="D688">
        <v>0</v>
      </c>
    </row>
    <row r="689" spans="1:4" x14ac:dyDescent="0.5">
      <c r="A689" t="s">
        <v>1630</v>
      </c>
      <c r="B689">
        <f t="shared" si="10"/>
        <v>2</v>
      </c>
      <c r="C689">
        <v>2</v>
      </c>
      <c r="D689">
        <v>0</v>
      </c>
    </row>
    <row r="690" spans="1:4" x14ac:dyDescent="0.5">
      <c r="A690" t="s">
        <v>1631</v>
      </c>
      <c r="B690">
        <f t="shared" si="10"/>
        <v>1</v>
      </c>
      <c r="C690">
        <v>1</v>
      </c>
      <c r="D690">
        <v>0</v>
      </c>
    </row>
    <row r="691" spans="1:4" x14ac:dyDescent="0.5">
      <c r="A691" t="s">
        <v>1632</v>
      </c>
      <c r="B691">
        <f t="shared" si="10"/>
        <v>2</v>
      </c>
      <c r="C691">
        <v>2</v>
      </c>
      <c r="D691">
        <v>0</v>
      </c>
    </row>
    <row r="692" spans="1:4" x14ac:dyDescent="0.5">
      <c r="A692" t="s">
        <v>1633</v>
      </c>
      <c r="B692">
        <f t="shared" si="10"/>
        <v>1</v>
      </c>
      <c r="C692">
        <v>1</v>
      </c>
      <c r="D692">
        <v>0</v>
      </c>
    </row>
    <row r="693" spans="1:4" x14ac:dyDescent="0.5">
      <c r="A693" t="s">
        <v>342</v>
      </c>
      <c r="B693">
        <f t="shared" si="10"/>
        <v>1</v>
      </c>
      <c r="C693">
        <v>1</v>
      </c>
      <c r="D693">
        <v>0</v>
      </c>
    </row>
    <row r="694" spans="1:4" x14ac:dyDescent="0.5">
      <c r="A694" t="s">
        <v>1634</v>
      </c>
      <c r="B694">
        <f t="shared" si="10"/>
        <v>1</v>
      </c>
      <c r="C694">
        <v>1</v>
      </c>
      <c r="D694">
        <v>0</v>
      </c>
    </row>
    <row r="695" spans="1:4" x14ac:dyDescent="0.5">
      <c r="A695" t="s">
        <v>1635</v>
      </c>
      <c r="B695">
        <f t="shared" si="10"/>
        <v>2</v>
      </c>
      <c r="C695">
        <v>2</v>
      </c>
      <c r="D695">
        <v>0</v>
      </c>
    </row>
    <row r="696" spans="1:4" x14ac:dyDescent="0.5">
      <c r="A696" t="s">
        <v>1636</v>
      </c>
      <c r="B696">
        <f t="shared" si="10"/>
        <v>1</v>
      </c>
      <c r="C696">
        <v>1</v>
      </c>
      <c r="D696">
        <v>0</v>
      </c>
    </row>
    <row r="697" spans="1:4" x14ac:dyDescent="0.5">
      <c r="A697" t="s">
        <v>1637</v>
      </c>
      <c r="B697">
        <f t="shared" si="10"/>
        <v>2</v>
      </c>
      <c r="C697">
        <v>2</v>
      </c>
      <c r="D697">
        <v>0</v>
      </c>
    </row>
    <row r="698" spans="1:4" x14ac:dyDescent="0.5">
      <c r="A698" t="s">
        <v>1638</v>
      </c>
      <c r="B698">
        <f t="shared" si="10"/>
        <v>1</v>
      </c>
      <c r="C698">
        <v>1</v>
      </c>
      <c r="D698">
        <v>0</v>
      </c>
    </row>
    <row r="699" spans="1:4" x14ac:dyDescent="0.5">
      <c r="A699" t="s">
        <v>1639</v>
      </c>
      <c r="B699">
        <f t="shared" si="10"/>
        <v>2</v>
      </c>
      <c r="C699">
        <v>2</v>
      </c>
      <c r="D699">
        <v>0</v>
      </c>
    </row>
    <row r="700" spans="1:4" x14ac:dyDescent="0.5">
      <c r="A700" t="s">
        <v>355</v>
      </c>
      <c r="B700">
        <f t="shared" si="10"/>
        <v>1</v>
      </c>
      <c r="C700">
        <v>1</v>
      </c>
      <c r="D700">
        <v>0</v>
      </c>
    </row>
    <row r="701" spans="1:4" x14ac:dyDescent="0.5">
      <c r="A701" t="s">
        <v>939</v>
      </c>
      <c r="B701">
        <f t="shared" si="10"/>
        <v>2.5</v>
      </c>
      <c r="C701">
        <v>2</v>
      </c>
      <c r="D701">
        <v>1</v>
      </c>
    </row>
    <row r="702" spans="1:4" x14ac:dyDescent="0.5">
      <c r="A702" t="s">
        <v>1640</v>
      </c>
      <c r="B702">
        <f t="shared" si="10"/>
        <v>2.5</v>
      </c>
      <c r="C702">
        <v>2</v>
      </c>
      <c r="D702">
        <v>1</v>
      </c>
    </row>
    <row r="703" spans="1:4" x14ac:dyDescent="0.5">
      <c r="A703" t="s">
        <v>1088</v>
      </c>
      <c r="B703">
        <f t="shared" si="10"/>
        <v>1</v>
      </c>
      <c r="C703">
        <v>1</v>
      </c>
      <c r="D703">
        <v>0</v>
      </c>
    </row>
    <row r="704" spans="1:4" x14ac:dyDescent="0.5">
      <c r="A704" t="s">
        <v>1641</v>
      </c>
      <c r="B704">
        <f t="shared" si="10"/>
        <v>1</v>
      </c>
      <c r="C704">
        <v>1</v>
      </c>
      <c r="D704">
        <v>0</v>
      </c>
    </row>
    <row r="705" spans="1:4" x14ac:dyDescent="0.5">
      <c r="A705" t="s">
        <v>1642</v>
      </c>
      <c r="B705">
        <f t="shared" si="10"/>
        <v>2</v>
      </c>
      <c r="C705">
        <v>2</v>
      </c>
      <c r="D705">
        <v>0</v>
      </c>
    </row>
    <row r="706" spans="1:4" x14ac:dyDescent="0.5">
      <c r="A706" t="s">
        <v>1643</v>
      </c>
      <c r="B706">
        <f t="shared" ref="B706:B769" si="11">SUM(C706 + 1/2*D706)</f>
        <v>2.5</v>
      </c>
      <c r="C706">
        <v>2</v>
      </c>
      <c r="D706">
        <v>1</v>
      </c>
    </row>
    <row r="707" spans="1:4" x14ac:dyDescent="0.5">
      <c r="A707" t="s">
        <v>1644</v>
      </c>
      <c r="B707">
        <f t="shared" si="11"/>
        <v>2</v>
      </c>
      <c r="C707">
        <v>2</v>
      </c>
      <c r="D707">
        <v>0</v>
      </c>
    </row>
    <row r="708" spans="1:4" x14ac:dyDescent="0.5">
      <c r="A708" t="s">
        <v>1645</v>
      </c>
      <c r="B708">
        <f t="shared" si="11"/>
        <v>2</v>
      </c>
      <c r="C708">
        <v>2</v>
      </c>
      <c r="D708">
        <v>0</v>
      </c>
    </row>
    <row r="709" spans="1:4" x14ac:dyDescent="0.5">
      <c r="A709" t="s">
        <v>1646</v>
      </c>
      <c r="B709">
        <f t="shared" si="11"/>
        <v>2</v>
      </c>
      <c r="C709">
        <v>2</v>
      </c>
      <c r="D709">
        <v>0</v>
      </c>
    </row>
    <row r="710" spans="1:4" x14ac:dyDescent="0.5">
      <c r="A710" t="s">
        <v>1647</v>
      </c>
      <c r="B710">
        <f t="shared" si="11"/>
        <v>1</v>
      </c>
      <c r="C710">
        <v>1</v>
      </c>
      <c r="D710">
        <v>0</v>
      </c>
    </row>
    <row r="711" spans="1:4" x14ac:dyDescent="0.5">
      <c r="A711" t="s">
        <v>1648</v>
      </c>
      <c r="B711">
        <f t="shared" si="11"/>
        <v>2.5</v>
      </c>
      <c r="C711">
        <v>2</v>
      </c>
      <c r="D711">
        <v>1</v>
      </c>
    </row>
    <row r="712" spans="1:4" x14ac:dyDescent="0.5">
      <c r="A712" t="s">
        <v>1649</v>
      </c>
      <c r="B712">
        <f t="shared" si="11"/>
        <v>1.5</v>
      </c>
      <c r="C712">
        <v>1</v>
      </c>
      <c r="D712">
        <v>1</v>
      </c>
    </row>
    <row r="713" spans="1:4" x14ac:dyDescent="0.5">
      <c r="A713" t="s">
        <v>1650</v>
      </c>
      <c r="B713">
        <f t="shared" si="11"/>
        <v>1</v>
      </c>
      <c r="C713">
        <v>1</v>
      </c>
      <c r="D713">
        <v>0</v>
      </c>
    </row>
    <row r="714" spans="1:4" x14ac:dyDescent="0.5">
      <c r="A714" t="s">
        <v>1651</v>
      </c>
      <c r="B714">
        <f t="shared" si="11"/>
        <v>1</v>
      </c>
      <c r="C714">
        <v>1</v>
      </c>
      <c r="D714">
        <v>0</v>
      </c>
    </row>
    <row r="715" spans="1:4" x14ac:dyDescent="0.5">
      <c r="A715" t="s">
        <v>1652</v>
      </c>
      <c r="B715">
        <f t="shared" si="11"/>
        <v>1</v>
      </c>
      <c r="C715">
        <v>1</v>
      </c>
      <c r="D715">
        <v>0</v>
      </c>
    </row>
    <row r="716" spans="1:4" x14ac:dyDescent="0.5">
      <c r="A716" t="s">
        <v>1653</v>
      </c>
      <c r="B716">
        <f t="shared" si="11"/>
        <v>2</v>
      </c>
      <c r="C716">
        <v>2</v>
      </c>
      <c r="D716">
        <v>0</v>
      </c>
    </row>
    <row r="717" spans="1:4" x14ac:dyDescent="0.5">
      <c r="A717" t="s">
        <v>1654</v>
      </c>
      <c r="B717">
        <f t="shared" si="11"/>
        <v>2</v>
      </c>
      <c r="C717">
        <v>2</v>
      </c>
      <c r="D717">
        <v>0</v>
      </c>
    </row>
    <row r="718" spans="1:4" x14ac:dyDescent="0.5">
      <c r="A718" t="s">
        <v>1655</v>
      </c>
      <c r="B718">
        <f t="shared" si="11"/>
        <v>2.5</v>
      </c>
      <c r="C718">
        <v>2</v>
      </c>
      <c r="D718">
        <v>1</v>
      </c>
    </row>
    <row r="719" spans="1:4" x14ac:dyDescent="0.5">
      <c r="A719" t="s">
        <v>1656</v>
      </c>
      <c r="B719">
        <f t="shared" si="11"/>
        <v>1</v>
      </c>
      <c r="C719">
        <v>1</v>
      </c>
      <c r="D719">
        <v>0</v>
      </c>
    </row>
    <row r="720" spans="1:4" x14ac:dyDescent="0.5">
      <c r="A720" t="s">
        <v>1657</v>
      </c>
      <c r="B720">
        <f t="shared" si="11"/>
        <v>1.5</v>
      </c>
      <c r="C720">
        <v>1</v>
      </c>
      <c r="D720">
        <v>1</v>
      </c>
    </row>
    <row r="721" spans="1:4" x14ac:dyDescent="0.5">
      <c r="A721" t="s">
        <v>1658</v>
      </c>
      <c r="B721">
        <f t="shared" si="11"/>
        <v>1</v>
      </c>
      <c r="C721">
        <v>1</v>
      </c>
      <c r="D721">
        <v>0</v>
      </c>
    </row>
    <row r="722" spans="1:4" x14ac:dyDescent="0.5">
      <c r="A722" t="s">
        <v>1659</v>
      </c>
      <c r="B722">
        <f t="shared" si="11"/>
        <v>1</v>
      </c>
      <c r="C722">
        <v>1</v>
      </c>
      <c r="D722">
        <v>0</v>
      </c>
    </row>
    <row r="723" spans="1:4" x14ac:dyDescent="0.5">
      <c r="A723" t="s">
        <v>1660</v>
      </c>
      <c r="B723">
        <f t="shared" si="11"/>
        <v>1</v>
      </c>
      <c r="C723">
        <v>1</v>
      </c>
      <c r="D723">
        <v>0</v>
      </c>
    </row>
    <row r="724" spans="1:4" x14ac:dyDescent="0.5">
      <c r="A724" t="s">
        <v>1661</v>
      </c>
      <c r="B724">
        <f t="shared" si="11"/>
        <v>1.5</v>
      </c>
      <c r="C724">
        <v>1</v>
      </c>
      <c r="D724">
        <v>1</v>
      </c>
    </row>
    <row r="725" spans="1:4" x14ac:dyDescent="0.5">
      <c r="A725" t="s">
        <v>799</v>
      </c>
      <c r="B725">
        <f t="shared" si="11"/>
        <v>1</v>
      </c>
      <c r="C725">
        <v>1</v>
      </c>
      <c r="D725">
        <v>0</v>
      </c>
    </row>
    <row r="726" spans="1:4" x14ac:dyDescent="0.5">
      <c r="A726" t="s">
        <v>1662</v>
      </c>
      <c r="B726">
        <f t="shared" si="11"/>
        <v>1</v>
      </c>
      <c r="C726">
        <v>1</v>
      </c>
      <c r="D726">
        <v>0</v>
      </c>
    </row>
    <row r="727" spans="1:4" x14ac:dyDescent="0.5">
      <c r="A727" t="s">
        <v>1663</v>
      </c>
      <c r="B727">
        <f t="shared" si="11"/>
        <v>1</v>
      </c>
      <c r="C727">
        <v>1</v>
      </c>
      <c r="D727">
        <v>0</v>
      </c>
    </row>
    <row r="728" spans="1:4" x14ac:dyDescent="0.5">
      <c r="A728" t="s">
        <v>1664</v>
      </c>
      <c r="B728">
        <f t="shared" si="11"/>
        <v>1</v>
      </c>
      <c r="C728">
        <v>1</v>
      </c>
      <c r="D728">
        <v>0</v>
      </c>
    </row>
    <row r="729" spans="1:4" x14ac:dyDescent="0.5">
      <c r="A729" t="s">
        <v>1665</v>
      </c>
      <c r="B729">
        <f t="shared" si="11"/>
        <v>1</v>
      </c>
      <c r="C729">
        <v>1</v>
      </c>
      <c r="D729">
        <v>0</v>
      </c>
    </row>
    <row r="730" spans="1:4" x14ac:dyDescent="0.5">
      <c r="A730" t="s">
        <v>1666</v>
      </c>
      <c r="B730">
        <f t="shared" si="11"/>
        <v>2.5</v>
      </c>
      <c r="C730">
        <v>2</v>
      </c>
      <c r="D730">
        <v>1</v>
      </c>
    </row>
    <row r="731" spans="1:4" x14ac:dyDescent="0.5">
      <c r="A731" t="s">
        <v>1667</v>
      </c>
      <c r="B731">
        <f t="shared" si="11"/>
        <v>1</v>
      </c>
      <c r="C731">
        <v>1</v>
      </c>
      <c r="D731">
        <v>0</v>
      </c>
    </row>
    <row r="732" spans="1:4" x14ac:dyDescent="0.5">
      <c r="A732" t="s">
        <v>1668</v>
      </c>
      <c r="B732">
        <f t="shared" si="11"/>
        <v>1</v>
      </c>
      <c r="C732">
        <v>1</v>
      </c>
      <c r="D732">
        <v>0</v>
      </c>
    </row>
    <row r="733" spans="1:4" x14ac:dyDescent="0.5">
      <c r="A733" t="s">
        <v>1669</v>
      </c>
      <c r="B733">
        <f t="shared" si="11"/>
        <v>1</v>
      </c>
      <c r="C733">
        <v>1</v>
      </c>
      <c r="D733">
        <v>0</v>
      </c>
    </row>
    <row r="734" spans="1:4" x14ac:dyDescent="0.5">
      <c r="A734" t="s">
        <v>794</v>
      </c>
      <c r="B734">
        <f t="shared" si="11"/>
        <v>1</v>
      </c>
      <c r="C734">
        <v>1</v>
      </c>
      <c r="D734">
        <v>0</v>
      </c>
    </row>
    <row r="735" spans="1:4" x14ac:dyDescent="0.5">
      <c r="A735" t="s">
        <v>565</v>
      </c>
      <c r="B735">
        <f t="shared" si="11"/>
        <v>2</v>
      </c>
      <c r="C735">
        <v>2</v>
      </c>
      <c r="D735">
        <v>0</v>
      </c>
    </row>
    <row r="736" spans="1:4" x14ac:dyDescent="0.5">
      <c r="A736" t="s">
        <v>1670</v>
      </c>
      <c r="B736">
        <f t="shared" si="11"/>
        <v>1</v>
      </c>
      <c r="C736">
        <v>1</v>
      </c>
      <c r="D736">
        <v>0</v>
      </c>
    </row>
    <row r="737" spans="1:4" x14ac:dyDescent="0.5">
      <c r="A737" t="s">
        <v>1671</v>
      </c>
      <c r="B737">
        <f t="shared" si="11"/>
        <v>1</v>
      </c>
      <c r="C737">
        <v>1</v>
      </c>
      <c r="D737">
        <v>0</v>
      </c>
    </row>
    <row r="738" spans="1:4" x14ac:dyDescent="0.5">
      <c r="A738" t="s">
        <v>1672</v>
      </c>
      <c r="B738">
        <f t="shared" si="11"/>
        <v>2.5</v>
      </c>
      <c r="C738">
        <v>2</v>
      </c>
      <c r="D738">
        <v>1</v>
      </c>
    </row>
    <row r="739" spans="1:4" x14ac:dyDescent="0.5">
      <c r="A739" t="s">
        <v>1673</v>
      </c>
      <c r="B739">
        <f t="shared" si="11"/>
        <v>1</v>
      </c>
      <c r="C739">
        <v>1</v>
      </c>
      <c r="D739">
        <v>0</v>
      </c>
    </row>
    <row r="740" spans="1:4" x14ac:dyDescent="0.5">
      <c r="A740" t="s">
        <v>1674</v>
      </c>
      <c r="B740">
        <f t="shared" si="11"/>
        <v>2</v>
      </c>
      <c r="C740">
        <v>2</v>
      </c>
      <c r="D740">
        <v>0</v>
      </c>
    </row>
    <row r="741" spans="1:4" x14ac:dyDescent="0.5">
      <c r="A741" t="s">
        <v>1675</v>
      </c>
      <c r="B741">
        <f t="shared" si="11"/>
        <v>1</v>
      </c>
      <c r="C741">
        <v>1</v>
      </c>
      <c r="D741">
        <v>0</v>
      </c>
    </row>
    <row r="742" spans="1:4" x14ac:dyDescent="0.5">
      <c r="A742" t="s">
        <v>1676</v>
      </c>
      <c r="B742">
        <f t="shared" si="11"/>
        <v>1</v>
      </c>
      <c r="C742">
        <v>1</v>
      </c>
      <c r="D742">
        <v>0</v>
      </c>
    </row>
    <row r="743" spans="1:4" x14ac:dyDescent="0.5">
      <c r="A743" t="s">
        <v>1677</v>
      </c>
      <c r="B743">
        <f t="shared" si="11"/>
        <v>2</v>
      </c>
      <c r="C743">
        <v>2</v>
      </c>
      <c r="D743">
        <v>0</v>
      </c>
    </row>
    <row r="744" spans="1:4" x14ac:dyDescent="0.5">
      <c r="A744" t="s">
        <v>580</v>
      </c>
      <c r="B744">
        <f t="shared" si="11"/>
        <v>1</v>
      </c>
      <c r="C744">
        <v>1</v>
      </c>
      <c r="D744">
        <v>0</v>
      </c>
    </row>
    <row r="745" spans="1:4" x14ac:dyDescent="0.5">
      <c r="A745" t="s">
        <v>1678</v>
      </c>
      <c r="B745">
        <f t="shared" si="11"/>
        <v>1</v>
      </c>
      <c r="C745">
        <v>1</v>
      </c>
      <c r="D745">
        <v>0</v>
      </c>
    </row>
    <row r="746" spans="1:4" x14ac:dyDescent="0.5">
      <c r="A746" t="s">
        <v>1679</v>
      </c>
      <c r="B746">
        <f t="shared" si="11"/>
        <v>2</v>
      </c>
      <c r="C746">
        <v>2</v>
      </c>
      <c r="D746">
        <v>0</v>
      </c>
    </row>
    <row r="747" spans="1:4" x14ac:dyDescent="0.5">
      <c r="A747" t="s">
        <v>1680</v>
      </c>
      <c r="B747">
        <f t="shared" si="11"/>
        <v>1</v>
      </c>
      <c r="C747">
        <v>1</v>
      </c>
      <c r="D747">
        <v>0</v>
      </c>
    </row>
    <row r="748" spans="1:4" x14ac:dyDescent="0.5">
      <c r="A748" t="s">
        <v>900</v>
      </c>
      <c r="B748">
        <f t="shared" si="11"/>
        <v>1</v>
      </c>
      <c r="C748">
        <v>1</v>
      </c>
      <c r="D748">
        <v>0</v>
      </c>
    </row>
    <row r="749" spans="1:4" x14ac:dyDescent="0.5">
      <c r="A749" t="s">
        <v>1681</v>
      </c>
      <c r="B749">
        <f t="shared" si="11"/>
        <v>3</v>
      </c>
      <c r="C749">
        <v>3</v>
      </c>
      <c r="D749">
        <v>0</v>
      </c>
    </row>
    <row r="750" spans="1:4" x14ac:dyDescent="0.5">
      <c r="A750" t="s">
        <v>1682</v>
      </c>
      <c r="B750">
        <f t="shared" si="11"/>
        <v>2</v>
      </c>
      <c r="C750">
        <v>2</v>
      </c>
      <c r="D750">
        <v>0</v>
      </c>
    </row>
    <row r="751" spans="1:4" x14ac:dyDescent="0.5">
      <c r="A751" t="s">
        <v>1683</v>
      </c>
      <c r="B751">
        <f t="shared" si="11"/>
        <v>2.5</v>
      </c>
      <c r="C751">
        <v>2</v>
      </c>
      <c r="D751">
        <v>1</v>
      </c>
    </row>
    <row r="752" spans="1:4" x14ac:dyDescent="0.5">
      <c r="A752" t="s">
        <v>1684</v>
      </c>
      <c r="B752">
        <f t="shared" si="11"/>
        <v>2.5</v>
      </c>
      <c r="C752">
        <v>2</v>
      </c>
      <c r="D752">
        <v>1</v>
      </c>
    </row>
    <row r="753" spans="1:4" x14ac:dyDescent="0.5">
      <c r="A753" t="s">
        <v>1685</v>
      </c>
      <c r="B753">
        <f t="shared" si="11"/>
        <v>3</v>
      </c>
      <c r="C753">
        <v>3</v>
      </c>
      <c r="D753">
        <v>0</v>
      </c>
    </row>
    <row r="754" spans="1:4" x14ac:dyDescent="0.5">
      <c r="A754" t="s">
        <v>907</v>
      </c>
      <c r="B754">
        <f t="shared" si="11"/>
        <v>1</v>
      </c>
      <c r="C754">
        <v>1</v>
      </c>
      <c r="D754">
        <v>0</v>
      </c>
    </row>
    <row r="755" spans="1:4" x14ac:dyDescent="0.5">
      <c r="A755" t="s">
        <v>1686</v>
      </c>
      <c r="B755" t="e">
        <f t="shared" si="11"/>
        <v>#VALUE!</v>
      </c>
      <c r="C755" t="s">
        <v>2077</v>
      </c>
      <c r="D755">
        <v>1</v>
      </c>
    </row>
    <row r="756" spans="1:4" x14ac:dyDescent="0.5">
      <c r="A756" t="s">
        <v>1687</v>
      </c>
      <c r="B756">
        <f t="shared" si="11"/>
        <v>2</v>
      </c>
      <c r="C756">
        <v>2</v>
      </c>
      <c r="D756">
        <v>0</v>
      </c>
    </row>
    <row r="757" spans="1:4" x14ac:dyDescent="0.5">
      <c r="A757" t="s">
        <v>1688</v>
      </c>
      <c r="B757">
        <f t="shared" si="11"/>
        <v>2</v>
      </c>
      <c r="C757">
        <v>2</v>
      </c>
      <c r="D757">
        <v>0</v>
      </c>
    </row>
    <row r="758" spans="1:4" x14ac:dyDescent="0.5">
      <c r="A758" t="s">
        <v>1689</v>
      </c>
      <c r="B758">
        <f t="shared" si="11"/>
        <v>2.5</v>
      </c>
      <c r="C758">
        <v>2</v>
      </c>
      <c r="D758">
        <v>1</v>
      </c>
    </row>
    <row r="759" spans="1:4" x14ac:dyDescent="0.5">
      <c r="A759" t="s">
        <v>1690</v>
      </c>
      <c r="B759">
        <f t="shared" si="11"/>
        <v>1</v>
      </c>
      <c r="C759">
        <v>1</v>
      </c>
      <c r="D759">
        <v>0</v>
      </c>
    </row>
    <row r="760" spans="1:4" x14ac:dyDescent="0.5">
      <c r="A760" t="s">
        <v>863</v>
      </c>
      <c r="B760">
        <f t="shared" si="11"/>
        <v>1</v>
      </c>
      <c r="C760">
        <v>1</v>
      </c>
      <c r="D760">
        <v>0</v>
      </c>
    </row>
    <row r="761" spans="1:4" x14ac:dyDescent="0.5">
      <c r="A761" t="s">
        <v>1691</v>
      </c>
      <c r="B761">
        <f t="shared" si="11"/>
        <v>1</v>
      </c>
      <c r="C761">
        <v>1</v>
      </c>
      <c r="D761">
        <v>0</v>
      </c>
    </row>
    <row r="762" spans="1:4" x14ac:dyDescent="0.5">
      <c r="A762" t="s">
        <v>1692</v>
      </c>
      <c r="B762">
        <f t="shared" si="11"/>
        <v>3</v>
      </c>
      <c r="C762">
        <v>3</v>
      </c>
      <c r="D762">
        <v>0</v>
      </c>
    </row>
    <row r="763" spans="1:4" x14ac:dyDescent="0.5">
      <c r="A763" t="s">
        <v>976</v>
      </c>
      <c r="B763">
        <f t="shared" si="11"/>
        <v>1</v>
      </c>
      <c r="C763">
        <v>1</v>
      </c>
      <c r="D763">
        <v>0</v>
      </c>
    </row>
    <row r="764" spans="1:4" x14ac:dyDescent="0.5">
      <c r="A764" t="s">
        <v>1693</v>
      </c>
      <c r="B764">
        <f t="shared" si="11"/>
        <v>1</v>
      </c>
      <c r="C764">
        <v>1</v>
      </c>
      <c r="D764">
        <v>0</v>
      </c>
    </row>
    <row r="765" spans="1:4" x14ac:dyDescent="0.5">
      <c r="A765" t="s">
        <v>1694</v>
      </c>
      <c r="B765">
        <f t="shared" si="11"/>
        <v>1</v>
      </c>
      <c r="C765">
        <v>1</v>
      </c>
      <c r="D765">
        <v>0</v>
      </c>
    </row>
    <row r="766" spans="1:4" x14ac:dyDescent="0.5">
      <c r="A766" t="s">
        <v>1695</v>
      </c>
      <c r="B766">
        <f t="shared" si="11"/>
        <v>1.5</v>
      </c>
      <c r="C766">
        <v>1</v>
      </c>
      <c r="D766">
        <v>1</v>
      </c>
    </row>
    <row r="767" spans="1:4" x14ac:dyDescent="0.5">
      <c r="A767" t="s">
        <v>1696</v>
      </c>
      <c r="B767">
        <f t="shared" si="11"/>
        <v>1</v>
      </c>
      <c r="C767">
        <v>1</v>
      </c>
      <c r="D767">
        <v>0</v>
      </c>
    </row>
    <row r="768" spans="1:4" x14ac:dyDescent="0.5">
      <c r="A768" t="s">
        <v>1697</v>
      </c>
      <c r="B768">
        <f t="shared" si="11"/>
        <v>1</v>
      </c>
      <c r="C768">
        <v>1</v>
      </c>
      <c r="D768">
        <v>0</v>
      </c>
    </row>
    <row r="769" spans="1:4" x14ac:dyDescent="0.5">
      <c r="A769" t="s">
        <v>1698</v>
      </c>
      <c r="B769">
        <f t="shared" si="11"/>
        <v>1</v>
      </c>
      <c r="C769">
        <v>1</v>
      </c>
      <c r="D769">
        <v>0</v>
      </c>
    </row>
    <row r="770" spans="1:4" x14ac:dyDescent="0.5">
      <c r="A770" t="s">
        <v>1699</v>
      </c>
      <c r="B770">
        <f t="shared" ref="B770:B833" si="12">SUM(C770 + 1/2*D770)</f>
        <v>2.5</v>
      </c>
      <c r="C770">
        <v>2</v>
      </c>
      <c r="D770">
        <v>1</v>
      </c>
    </row>
    <row r="771" spans="1:4" x14ac:dyDescent="0.5">
      <c r="A771" t="s">
        <v>850</v>
      </c>
      <c r="B771">
        <f t="shared" si="12"/>
        <v>2</v>
      </c>
      <c r="C771">
        <v>2</v>
      </c>
      <c r="D771">
        <v>0</v>
      </c>
    </row>
    <row r="772" spans="1:4" x14ac:dyDescent="0.5">
      <c r="A772" t="s">
        <v>947</v>
      </c>
      <c r="B772">
        <f t="shared" si="12"/>
        <v>1</v>
      </c>
      <c r="C772">
        <v>1</v>
      </c>
      <c r="D772">
        <v>0</v>
      </c>
    </row>
    <row r="773" spans="1:4" x14ac:dyDescent="0.5">
      <c r="A773" t="s">
        <v>926</v>
      </c>
      <c r="B773">
        <f t="shared" si="12"/>
        <v>1</v>
      </c>
      <c r="C773">
        <v>1</v>
      </c>
      <c r="D773">
        <v>0</v>
      </c>
    </row>
    <row r="774" spans="1:4" x14ac:dyDescent="0.5">
      <c r="A774" t="s">
        <v>1700</v>
      </c>
      <c r="B774">
        <f t="shared" si="12"/>
        <v>2</v>
      </c>
      <c r="C774">
        <v>2</v>
      </c>
      <c r="D774">
        <v>0</v>
      </c>
    </row>
    <row r="775" spans="1:4" x14ac:dyDescent="0.5">
      <c r="A775" t="s">
        <v>1701</v>
      </c>
      <c r="B775">
        <f t="shared" si="12"/>
        <v>2</v>
      </c>
      <c r="C775">
        <v>2</v>
      </c>
      <c r="D775">
        <v>0</v>
      </c>
    </row>
    <row r="776" spans="1:4" x14ac:dyDescent="0.5">
      <c r="A776" t="s">
        <v>1702</v>
      </c>
      <c r="B776">
        <f t="shared" si="12"/>
        <v>2</v>
      </c>
      <c r="C776">
        <v>2</v>
      </c>
      <c r="D776">
        <v>0</v>
      </c>
    </row>
    <row r="777" spans="1:4" x14ac:dyDescent="0.5">
      <c r="A777" t="s">
        <v>1703</v>
      </c>
      <c r="B777">
        <f t="shared" si="12"/>
        <v>2</v>
      </c>
      <c r="C777">
        <v>2</v>
      </c>
      <c r="D777">
        <v>0</v>
      </c>
    </row>
    <row r="778" spans="1:4" x14ac:dyDescent="0.5">
      <c r="A778" t="s">
        <v>1704</v>
      </c>
      <c r="B778">
        <f t="shared" si="12"/>
        <v>2</v>
      </c>
      <c r="C778">
        <v>2</v>
      </c>
      <c r="D778">
        <v>0</v>
      </c>
    </row>
    <row r="779" spans="1:4" x14ac:dyDescent="0.5">
      <c r="A779" t="s">
        <v>1705</v>
      </c>
      <c r="B779">
        <f t="shared" si="12"/>
        <v>1</v>
      </c>
      <c r="C779">
        <v>1</v>
      </c>
      <c r="D779">
        <v>0</v>
      </c>
    </row>
    <row r="780" spans="1:4" x14ac:dyDescent="0.5">
      <c r="A780" t="s">
        <v>1706</v>
      </c>
      <c r="B780">
        <f t="shared" si="12"/>
        <v>1</v>
      </c>
      <c r="C780">
        <v>1</v>
      </c>
      <c r="D780">
        <v>0</v>
      </c>
    </row>
    <row r="781" spans="1:4" x14ac:dyDescent="0.5">
      <c r="A781" t="s">
        <v>1707</v>
      </c>
      <c r="B781">
        <f t="shared" si="12"/>
        <v>1</v>
      </c>
      <c r="C781">
        <v>1</v>
      </c>
      <c r="D781">
        <v>0</v>
      </c>
    </row>
    <row r="782" spans="1:4" x14ac:dyDescent="0.5">
      <c r="A782" t="s">
        <v>1708</v>
      </c>
      <c r="B782">
        <f t="shared" si="12"/>
        <v>3.5</v>
      </c>
      <c r="C782">
        <v>3</v>
      </c>
      <c r="D782">
        <v>1</v>
      </c>
    </row>
    <row r="783" spans="1:4" x14ac:dyDescent="0.5">
      <c r="A783" t="s">
        <v>1709</v>
      </c>
      <c r="B783">
        <f t="shared" si="12"/>
        <v>2</v>
      </c>
      <c r="C783">
        <v>2</v>
      </c>
      <c r="D783">
        <v>0</v>
      </c>
    </row>
    <row r="784" spans="1:4" x14ac:dyDescent="0.5">
      <c r="A784" t="s">
        <v>1710</v>
      </c>
      <c r="B784">
        <f t="shared" si="12"/>
        <v>1</v>
      </c>
      <c r="C784">
        <v>1</v>
      </c>
      <c r="D784">
        <v>0</v>
      </c>
    </row>
    <row r="785" spans="1:4" x14ac:dyDescent="0.5">
      <c r="A785" t="s">
        <v>853</v>
      </c>
      <c r="B785">
        <f t="shared" si="12"/>
        <v>1</v>
      </c>
      <c r="C785">
        <v>1</v>
      </c>
      <c r="D785">
        <v>0</v>
      </c>
    </row>
    <row r="786" spans="1:4" x14ac:dyDescent="0.5">
      <c r="A786" t="s">
        <v>841</v>
      </c>
      <c r="B786">
        <f t="shared" si="12"/>
        <v>1.5</v>
      </c>
      <c r="C786">
        <v>1</v>
      </c>
      <c r="D786">
        <v>1</v>
      </c>
    </row>
    <row r="787" spans="1:4" x14ac:dyDescent="0.5">
      <c r="A787" t="s">
        <v>838</v>
      </c>
      <c r="B787">
        <f t="shared" si="12"/>
        <v>1</v>
      </c>
      <c r="C787">
        <v>1</v>
      </c>
      <c r="D787">
        <v>0</v>
      </c>
    </row>
    <row r="788" spans="1:4" x14ac:dyDescent="0.5">
      <c r="A788" t="s">
        <v>1711</v>
      </c>
      <c r="B788">
        <f t="shared" si="12"/>
        <v>1</v>
      </c>
      <c r="C788">
        <v>1</v>
      </c>
      <c r="D788">
        <v>0</v>
      </c>
    </row>
    <row r="789" spans="1:4" x14ac:dyDescent="0.5">
      <c r="A789" t="s">
        <v>844</v>
      </c>
      <c r="B789">
        <f t="shared" si="12"/>
        <v>1</v>
      </c>
      <c r="C789">
        <v>1</v>
      </c>
      <c r="D789">
        <v>0</v>
      </c>
    </row>
    <row r="790" spans="1:4" x14ac:dyDescent="0.5">
      <c r="A790" t="s">
        <v>845</v>
      </c>
      <c r="B790">
        <f t="shared" si="12"/>
        <v>2</v>
      </c>
      <c r="C790">
        <v>2</v>
      </c>
      <c r="D790">
        <v>0</v>
      </c>
    </row>
    <row r="791" spans="1:4" x14ac:dyDescent="0.5">
      <c r="A791" t="s">
        <v>854</v>
      </c>
      <c r="B791">
        <f t="shared" si="12"/>
        <v>1</v>
      </c>
      <c r="C791">
        <v>1</v>
      </c>
      <c r="D791">
        <v>0</v>
      </c>
    </row>
    <row r="792" spans="1:4" x14ac:dyDescent="0.5">
      <c r="A792" t="s">
        <v>856</v>
      </c>
      <c r="B792">
        <f t="shared" si="12"/>
        <v>1</v>
      </c>
      <c r="C792">
        <v>1</v>
      </c>
      <c r="D792">
        <v>0</v>
      </c>
    </row>
    <row r="793" spans="1:4" x14ac:dyDescent="0.5">
      <c r="A793" t="s">
        <v>1712</v>
      </c>
      <c r="B793">
        <f t="shared" si="12"/>
        <v>2</v>
      </c>
      <c r="C793">
        <v>2</v>
      </c>
      <c r="D793">
        <v>0</v>
      </c>
    </row>
    <row r="794" spans="1:4" x14ac:dyDescent="0.5">
      <c r="A794" t="s">
        <v>1713</v>
      </c>
      <c r="B794">
        <f t="shared" si="12"/>
        <v>1</v>
      </c>
      <c r="C794">
        <v>1</v>
      </c>
      <c r="D794">
        <v>0</v>
      </c>
    </row>
    <row r="795" spans="1:4" x14ac:dyDescent="0.5">
      <c r="A795" t="s">
        <v>1714</v>
      </c>
      <c r="B795">
        <f t="shared" si="12"/>
        <v>1</v>
      </c>
      <c r="C795">
        <v>1</v>
      </c>
      <c r="D795">
        <v>0</v>
      </c>
    </row>
    <row r="796" spans="1:4" x14ac:dyDescent="0.5">
      <c r="A796" t="s">
        <v>1715</v>
      </c>
      <c r="B796">
        <f t="shared" si="12"/>
        <v>1</v>
      </c>
      <c r="C796">
        <v>1</v>
      </c>
      <c r="D796">
        <v>0</v>
      </c>
    </row>
    <row r="797" spans="1:4" x14ac:dyDescent="0.5">
      <c r="A797" t="s">
        <v>1716</v>
      </c>
      <c r="B797">
        <f t="shared" si="12"/>
        <v>1</v>
      </c>
      <c r="C797">
        <v>1</v>
      </c>
      <c r="D797">
        <v>0</v>
      </c>
    </row>
    <row r="798" spans="1:4" x14ac:dyDescent="0.5">
      <c r="A798" t="s">
        <v>1717</v>
      </c>
      <c r="B798">
        <f t="shared" si="12"/>
        <v>3.5</v>
      </c>
      <c r="C798">
        <v>3</v>
      </c>
      <c r="D798">
        <v>1</v>
      </c>
    </row>
    <row r="799" spans="1:4" x14ac:dyDescent="0.5">
      <c r="A799" t="s">
        <v>1718</v>
      </c>
      <c r="B799">
        <f t="shared" si="12"/>
        <v>2</v>
      </c>
      <c r="C799">
        <v>2</v>
      </c>
      <c r="D799">
        <v>0</v>
      </c>
    </row>
    <row r="800" spans="1:4" x14ac:dyDescent="0.5">
      <c r="A800" t="s">
        <v>1719</v>
      </c>
      <c r="B800">
        <f t="shared" si="12"/>
        <v>2.5</v>
      </c>
      <c r="C800">
        <v>2</v>
      </c>
      <c r="D800">
        <v>1</v>
      </c>
    </row>
    <row r="801" spans="1:4" x14ac:dyDescent="0.5">
      <c r="A801" t="s">
        <v>1720</v>
      </c>
      <c r="B801">
        <f t="shared" si="12"/>
        <v>1</v>
      </c>
      <c r="C801">
        <v>1</v>
      </c>
      <c r="D801">
        <v>0</v>
      </c>
    </row>
    <row r="802" spans="1:4" x14ac:dyDescent="0.5">
      <c r="A802" t="s">
        <v>753</v>
      </c>
      <c r="B802">
        <f t="shared" si="12"/>
        <v>1</v>
      </c>
      <c r="C802">
        <v>1</v>
      </c>
      <c r="D802">
        <v>0</v>
      </c>
    </row>
    <row r="803" spans="1:4" x14ac:dyDescent="0.5">
      <c r="A803" t="s">
        <v>1721</v>
      </c>
      <c r="B803">
        <f t="shared" si="12"/>
        <v>2</v>
      </c>
      <c r="C803">
        <v>2</v>
      </c>
      <c r="D803">
        <v>0</v>
      </c>
    </row>
    <row r="804" spans="1:4" x14ac:dyDescent="0.5">
      <c r="A804" t="s">
        <v>1722</v>
      </c>
      <c r="B804">
        <f t="shared" si="12"/>
        <v>1</v>
      </c>
      <c r="C804">
        <v>1</v>
      </c>
      <c r="D804">
        <v>0</v>
      </c>
    </row>
    <row r="805" spans="1:4" x14ac:dyDescent="0.5">
      <c r="A805" t="s">
        <v>1723</v>
      </c>
      <c r="B805">
        <f t="shared" si="12"/>
        <v>2</v>
      </c>
      <c r="C805">
        <v>2</v>
      </c>
      <c r="D805">
        <v>0</v>
      </c>
    </row>
    <row r="806" spans="1:4" x14ac:dyDescent="0.5">
      <c r="A806" t="s">
        <v>1724</v>
      </c>
      <c r="B806">
        <f t="shared" si="12"/>
        <v>1</v>
      </c>
      <c r="C806">
        <v>1</v>
      </c>
      <c r="D806">
        <v>0</v>
      </c>
    </row>
    <row r="807" spans="1:4" x14ac:dyDescent="0.5">
      <c r="A807" t="s">
        <v>1725</v>
      </c>
      <c r="B807">
        <f t="shared" si="12"/>
        <v>2.5</v>
      </c>
      <c r="C807">
        <v>2</v>
      </c>
      <c r="D807">
        <v>1</v>
      </c>
    </row>
    <row r="808" spans="1:4" x14ac:dyDescent="0.5">
      <c r="A808" t="s">
        <v>1726</v>
      </c>
      <c r="B808">
        <f t="shared" si="12"/>
        <v>2</v>
      </c>
      <c r="C808">
        <v>2</v>
      </c>
      <c r="D808">
        <v>0</v>
      </c>
    </row>
    <row r="809" spans="1:4" x14ac:dyDescent="0.5">
      <c r="A809" t="s">
        <v>1727</v>
      </c>
      <c r="B809">
        <f t="shared" si="12"/>
        <v>2</v>
      </c>
      <c r="C809">
        <v>2</v>
      </c>
      <c r="D809">
        <v>0</v>
      </c>
    </row>
    <row r="810" spans="1:4" x14ac:dyDescent="0.5">
      <c r="A810" t="s">
        <v>1728</v>
      </c>
      <c r="B810">
        <f t="shared" si="12"/>
        <v>1</v>
      </c>
      <c r="C810">
        <v>1</v>
      </c>
      <c r="D810">
        <v>0</v>
      </c>
    </row>
    <row r="811" spans="1:4" x14ac:dyDescent="0.5">
      <c r="A811" t="s">
        <v>1729</v>
      </c>
      <c r="B811">
        <f t="shared" si="12"/>
        <v>1</v>
      </c>
      <c r="C811">
        <v>1</v>
      </c>
      <c r="D811">
        <v>0</v>
      </c>
    </row>
    <row r="812" spans="1:4" x14ac:dyDescent="0.5">
      <c r="A812" t="s">
        <v>1730</v>
      </c>
      <c r="B812">
        <f t="shared" si="12"/>
        <v>1.5</v>
      </c>
      <c r="C812">
        <v>1</v>
      </c>
      <c r="D812">
        <v>1</v>
      </c>
    </row>
    <row r="813" spans="1:4" x14ac:dyDescent="0.5">
      <c r="A813" t="s">
        <v>1731</v>
      </c>
      <c r="B813">
        <f t="shared" si="12"/>
        <v>1</v>
      </c>
      <c r="C813">
        <v>1</v>
      </c>
      <c r="D813">
        <v>0</v>
      </c>
    </row>
    <row r="814" spans="1:4" x14ac:dyDescent="0.5">
      <c r="A814" t="s">
        <v>1732</v>
      </c>
      <c r="B814">
        <f t="shared" si="12"/>
        <v>1</v>
      </c>
      <c r="C814">
        <v>1</v>
      </c>
      <c r="D814">
        <v>0</v>
      </c>
    </row>
    <row r="815" spans="1:4" x14ac:dyDescent="0.5">
      <c r="A815" t="s">
        <v>1733</v>
      </c>
      <c r="B815">
        <f t="shared" si="12"/>
        <v>1</v>
      </c>
      <c r="C815">
        <v>1</v>
      </c>
      <c r="D815">
        <v>0</v>
      </c>
    </row>
    <row r="816" spans="1:4" x14ac:dyDescent="0.5">
      <c r="A816" t="s">
        <v>1734</v>
      </c>
      <c r="B816">
        <f t="shared" si="12"/>
        <v>1</v>
      </c>
      <c r="C816">
        <v>1</v>
      </c>
      <c r="D816">
        <v>0</v>
      </c>
    </row>
    <row r="817" spans="1:4" x14ac:dyDescent="0.5">
      <c r="A817" t="s">
        <v>1735</v>
      </c>
      <c r="B817">
        <f t="shared" si="12"/>
        <v>1</v>
      </c>
      <c r="C817">
        <v>1</v>
      </c>
      <c r="D817">
        <v>0</v>
      </c>
    </row>
    <row r="818" spans="1:4" x14ac:dyDescent="0.5">
      <c r="A818" t="s">
        <v>1736</v>
      </c>
      <c r="B818">
        <f t="shared" si="12"/>
        <v>1</v>
      </c>
      <c r="C818">
        <v>1</v>
      </c>
      <c r="D818">
        <v>0</v>
      </c>
    </row>
    <row r="819" spans="1:4" x14ac:dyDescent="0.5">
      <c r="A819" t="s">
        <v>1737</v>
      </c>
      <c r="B819">
        <f t="shared" si="12"/>
        <v>1</v>
      </c>
      <c r="C819">
        <v>1</v>
      </c>
      <c r="D819">
        <v>0</v>
      </c>
    </row>
    <row r="820" spans="1:4" x14ac:dyDescent="0.5">
      <c r="A820" t="s">
        <v>1738</v>
      </c>
      <c r="B820">
        <f t="shared" si="12"/>
        <v>1</v>
      </c>
      <c r="C820">
        <v>1</v>
      </c>
      <c r="D820">
        <v>0</v>
      </c>
    </row>
    <row r="821" spans="1:4" x14ac:dyDescent="0.5">
      <c r="A821" t="s">
        <v>1739</v>
      </c>
      <c r="B821">
        <f t="shared" si="12"/>
        <v>1</v>
      </c>
      <c r="C821">
        <v>1</v>
      </c>
      <c r="D821">
        <v>0</v>
      </c>
    </row>
    <row r="822" spans="1:4" x14ac:dyDescent="0.5">
      <c r="A822" t="s">
        <v>1052</v>
      </c>
      <c r="B822">
        <f t="shared" si="12"/>
        <v>2</v>
      </c>
      <c r="C822">
        <v>2</v>
      </c>
      <c r="D822">
        <v>0</v>
      </c>
    </row>
    <row r="823" spans="1:4" x14ac:dyDescent="0.5">
      <c r="A823" t="s">
        <v>1740</v>
      </c>
      <c r="B823">
        <f t="shared" si="12"/>
        <v>3.5</v>
      </c>
      <c r="C823">
        <v>3</v>
      </c>
      <c r="D823">
        <v>1</v>
      </c>
    </row>
    <row r="824" spans="1:4" x14ac:dyDescent="0.5">
      <c r="A824" t="s">
        <v>1741</v>
      </c>
      <c r="B824">
        <f t="shared" si="12"/>
        <v>1</v>
      </c>
      <c r="C824">
        <v>1</v>
      </c>
      <c r="D824">
        <v>0</v>
      </c>
    </row>
    <row r="825" spans="1:4" x14ac:dyDescent="0.5">
      <c r="A825" t="s">
        <v>1742</v>
      </c>
      <c r="B825">
        <f t="shared" si="12"/>
        <v>2</v>
      </c>
      <c r="C825">
        <v>2</v>
      </c>
      <c r="D825">
        <v>0</v>
      </c>
    </row>
    <row r="826" spans="1:4" x14ac:dyDescent="0.5">
      <c r="A826" t="s">
        <v>1743</v>
      </c>
      <c r="B826">
        <f t="shared" si="12"/>
        <v>1</v>
      </c>
      <c r="C826">
        <v>1</v>
      </c>
      <c r="D826">
        <v>0</v>
      </c>
    </row>
    <row r="827" spans="1:4" x14ac:dyDescent="0.5">
      <c r="A827" t="s">
        <v>1744</v>
      </c>
      <c r="B827">
        <f t="shared" si="12"/>
        <v>1</v>
      </c>
      <c r="C827">
        <v>1</v>
      </c>
      <c r="D827">
        <v>0</v>
      </c>
    </row>
    <row r="828" spans="1:4" x14ac:dyDescent="0.5">
      <c r="A828" t="s">
        <v>1745</v>
      </c>
      <c r="B828">
        <f t="shared" si="12"/>
        <v>1</v>
      </c>
      <c r="C828">
        <v>1</v>
      </c>
      <c r="D828">
        <v>0</v>
      </c>
    </row>
    <row r="829" spans="1:4" x14ac:dyDescent="0.5">
      <c r="A829" t="s">
        <v>1746</v>
      </c>
      <c r="B829">
        <f t="shared" si="12"/>
        <v>1</v>
      </c>
      <c r="C829">
        <v>1</v>
      </c>
      <c r="D829">
        <v>0</v>
      </c>
    </row>
    <row r="830" spans="1:4" x14ac:dyDescent="0.5">
      <c r="A830" t="s">
        <v>1747</v>
      </c>
      <c r="B830">
        <f t="shared" si="12"/>
        <v>2.5</v>
      </c>
      <c r="C830">
        <v>2</v>
      </c>
      <c r="D830">
        <v>1</v>
      </c>
    </row>
    <row r="831" spans="1:4" x14ac:dyDescent="0.5">
      <c r="A831" t="s">
        <v>1748</v>
      </c>
      <c r="B831">
        <f t="shared" si="12"/>
        <v>2</v>
      </c>
      <c r="C831">
        <v>2</v>
      </c>
      <c r="D831">
        <v>0</v>
      </c>
    </row>
    <row r="832" spans="1:4" x14ac:dyDescent="0.5">
      <c r="A832" t="s">
        <v>1749</v>
      </c>
      <c r="B832">
        <f t="shared" si="12"/>
        <v>2.5</v>
      </c>
      <c r="C832">
        <v>2</v>
      </c>
      <c r="D832">
        <v>1</v>
      </c>
    </row>
    <row r="833" spans="1:4" x14ac:dyDescent="0.5">
      <c r="A833" t="s">
        <v>990</v>
      </c>
      <c r="B833">
        <f t="shared" si="12"/>
        <v>1</v>
      </c>
      <c r="C833">
        <v>1</v>
      </c>
      <c r="D833">
        <v>0</v>
      </c>
    </row>
    <row r="834" spans="1:4" x14ac:dyDescent="0.5">
      <c r="A834" t="s">
        <v>1750</v>
      </c>
      <c r="B834">
        <f t="shared" ref="B834:B897" si="13">SUM(C834 + 1/2*D834)</f>
        <v>2</v>
      </c>
      <c r="C834">
        <v>2</v>
      </c>
      <c r="D834">
        <v>0</v>
      </c>
    </row>
    <row r="835" spans="1:4" x14ac:dyDescent="0.5">
      <c r="A835" t="s">
        <v>1751</v>
      </c>
      <c r="B835">
        <f t="shared" si="13"/>
        <v>1</v>
      </c>
      <c r="C835">
        <v>1</v>
      </c>
      <c r="D835">
        <v>0</v>
      </c>
    </row>
    <row r="836" spans="1:4" x14ac:dyDescent="0.5">
      <c r="A836" t="s">
        <v>1752</v>
      </c>
      <c r="B836">
        <f t="shared" si="13"/>
        <v>1</v>
      </c>
      <c r="C836">
        <v>1</v>
      </c>
      <c r="D836">
        <v>0</v>
      </c>
    </row>
    <row r="837" spans="1:4" x14ac:dyDescent="0.5">
      <c r="A837" t="s">
        <v>1753</v>
      </c>
      <c r="B837">
        <f t="shared" si="13"/>
        <v>1.5</v>
      </c>
      <c r="C837">
        <v>1</v>
      </c>
      <c r="D837">
        <v>1</v>
      </c>
    </row>
    <row r="838" spans="1:4" x14ac:dyDescent="0.5">
      <c r="A838" t="s">
        <v>1754</v>
      </c>
      <c r="B838">
        <f t="shared" si="13"/>
        <v>1.5</v>
      </c>
      <c r="C838">
        <v>1</v>
      </c>
      <c r="D838">
        <v>1</v>
      </c>
    </row>
    <row r="839" spans="1:4" x14ac:dyDescent="0.5">
      <c r="A839" t="s">
        <v>1755</v>
      </c>
      <c r="B839">
        <f t="shared" si="13"/>
        <v>1.5</v>
      </c>
      <c r="C839">
        <v>1</v>
      </c>
      <c r="D839">
        <v>1</v>
      </c>
    </row>
    <row r="840" spans="1:4" x14ac:dyDescent="0.5">
      <c r="A840" t="s">
        <v>629</v>
      </c>
      <c r="B840">
        <f t="shared" si="13"/>
        <v>1</v>
      </c>
      <c r="C840">
        <v>1</v>
      </c>
      <c r="D840">
        <v>0</v>
      </c>
    </row>
    <row r="841" spans="1:4" x14ac:dyDescent="0.5">
      <c r="A841" t="s">
        <v>1756</v>
      </c>
      <c r="B841">
        <f t="shared" si="13"/>
        <v>2</v>
      </c>
      <c r="C841">
        <v>2</v>
      </c>
      <c r="D841">
        <v>0</v>
      </c>
    </row>
    <row r="842" spans="1:4" x14ac:dyDescent="0.5">
      <c r="A842" t="s">
        <v>1757</v>
      </c>
      <c r="B842">
        <f t="shared" si="13"/>
        <v>1</v>
      </c>
      <c r="C842">
        <v>1</v>
      </c>
      <c r="D842">
        <v>0</v>
      </c>
    </row>
    <row r="843" spans="1:4" x14ac:dyDescent="0.5">
      <c r="A843" t="s">
        <v>1758</v>
      </c>
      <c r="B843">
        <f t="shared" si="13"/>
        <v>1</v>
      </c>
      <c r="C843">
        <v>1</v>
      </c>
      <c r="D843">
        <v>0</v>
      </c>
    </row>
    <row r="844" spans="1:4" x14ac:dyDescent="0.5">
      <c r="A844" t="s">
        <v>1759</v>
      </c>
      <c r="B844">
        <f t="shared" si="13"/>
        <v>2</v>
      </c>
      <c r="C844">
        <v>2</v>
      </c>
      <c r="D844">
        <v>0</v>
      </c>
    </row>
    <row r="845" spans="1:4" x14ac:dyDescent="0.5">
      <c r="A845" t="s">
        <v>1760</v>
      </c>
      <c r="B845">
        <f t="shared" si="13"/>
        <v>3.5</v>
      </c>
      <c r="C845">
        <v>3</v>
      </c>
      <c r="D845">
        <v>1</v>
      </c>
    </row>
    <row r="846" spans="1:4" x14ac:dyDescent="0.5">
      <c r="A846" t="s">
        <v>1047</v>
      </c>
      <c r="B846">
        <f t="shared" si="13"/>
        <v>1.5</v>
      </c>
      <c r="C846">
        <v>1</v>
      </c>
      <c r="D846">
        <v>1</v>
      </c>
    </row>
    <row r="847" spans="1:4" x14ac:dyDescent="0.5">
      <c r="A847" t="s">
        <v>1761</v>
      </c>
      <c r="B847">
        <f t="shared" si="13"/>
        <v>2</v>
      </c>
      <c r="C847">
        <v>2</v>
      </c>
      <c r="D847">
        <v>0</v>
      </c>
    </row>
    <row r="848" spans="1:4" x14ac:dyDescent="0.5">
      <c r="A848" t="s">
        <v>1762</v>
      </c>
      <c r="B848">
        <f t="shared" si="13"/>
        <v>2</v>
      </c>
      <c r="C848">
        <v>2</v>
      </c>
      <c r="D848">
        <v>0</v>
      </c>
    </row>
    <row r="849" spans="1:4" x14ac:dyDescent="0.5">
      <c r="A849" t="s">
        <v>1763</v>
      </c>
      <c r="B849">
        <f t="shared" si="13"/>
        <v>1</v>
      </c>
      <c r="C849">
        <v>1</v>
      </c>
      <c r="D849">
        <v>0</v>
      </c>
    </row>
    <row r="850" spans="1:4" x14ac:dyDescent="0.5">
      <c r="A850" t="s">
        <v>1764</v>
      </c>
      <c r="B850">
        <f t="shared" si="13"/>
        <v>1</v>
      </c>
      <c r="C850">
        <v>1</v>
      </c>
      <c r="D850">
        <v>0</v>
      </c>
    </row>
    <row r="851" spans="1:4" x14ac:dyDescent="0.5">
      <c r="A851" t="s">
        <v>1765</v>
      </c>
      <c r="B851">
        <f t="shared" si="13"/>
        <v>2</v>
      </c>
      <c r="C851">
        <v>2</v>
      </c>
      <c r="D851">
        <v>0</v>
      </c>
    </row>
    <row r="852" spans="1:4" x14ac:dyDescent="0.5">
      <c r="A852" t="s">
        <v>1766</v>
      </c>
      <c r="B852">
        <f t="shared" si="13"/>
        <v>1</v>
      </c>
      <c r="C852">
        <v>1</v>
      </c>
      <c r="D852">
        <v>0</v>
      </c>
    </row>
    <row r="853" spans="1:4" x14ac:dyDescent="0.5">
      <c r="A853" t="s">
        <v>1767</v>
      </c>
      <c r="B853">
        <f t="shared" si="13"/>
        <v>1</v>
      </c>
      <c r="C853">
        <v>1</v>
      </c>
      <c r="D853">
        <v>0</v>
      </c>
    </row>
    <row r="854" spans="1:4" x14ac:dyDescent="0.5">
      <c r="A854" t="s">
        <v>1768</v>
      </c>
      <c r="B854">
        <f t="shared" si="13"/>
        <v>2.5</v>
      </c>
      <c r="C854">
        <v>2</v>
      </c>
      <c r="D854">
        <v>1</v>
      </c>
    </row>
    <row r="855" spans="1:4" x14ac:dyDescent="0.5">
      <c r="A855" t="s">
        <v>1769</v>
      </c>
      <c r="B855">
        <f t="shared" si="13"/>
        <v>1</v>
      </c>
      <c r="C855">
        <v>1</v>
      </c>
      <c r="D855">
        <v>0</v>
      </c>
    </row>
    <row r="856" spans="1:4" x14ac:dyDescent="0.5">
      <c r="A856" t="s">
        <v>1770</v>
      </c>
      <c r="B856">
        <f t="shared" si="13"/>
        <v>2</v>
      </c>
      <c r="C856">
        <v>2</v>
      </c>
      <c r="D856">
        <v>0</v>
      </c>
    </row>
    <row r="857" spans="1:4" x14ac:dyDescent="0.5">
      <c r="A857" t="s">
        <v>1771</v>
      </c>
      <c r="B857">
        <f t="shared" si="13"/>
        <v>1</v>
      </c>
      <c r="C857">
        <v>1</v>
      </c>
      <c r="D857">
        <v>0</v>
      </c>
    </row>
    <row r="858" spans="1:4" x14ac:dyDescent="0.5">
      <c r="A858" t="s">
        <v>1772</v>
      </c>
      <c r="B858">
        <f t="shared" si="13"/>
        <v>1</v>
      </c>
      <c r="C858">
        <v>1</v>
      </c>
      <c r="D858">
        <v>0</v>
      </c>
    </row>
    <row r="859" spans="1:4" x14ac:dyDescent="0.5">
      <c r="A859" t="s">
        <v>1109</v>
      </c>
      <c r="B859">
        <f t="shared" si="13"/>
        <v>2</v>
      </c>
      <c r="C859">
        <v>2</v>
      </c>
      <c r="D859">
        <v>0</v>
      </c>
    </row>
    <row r="860" spans="1:4" x14ac:dyDescent="0.5">
      <c r="A860" t="s">
        <v>1773</v>
      </c>
      <c r="B860">
        <f t="shared" si="13"/>
        <v>1</v>
      </c>
      <c r="C860">
        <v>1</v>
      </c>
      <c r="D860">
        <v>0</v>
      </c>
    </row>
    <row r="861" spans="1:4" x14ac:dyDescent="0.5">
      <c r="A861" t="s">
        <v>1774</v>
      </c>
      <c r="B861">
        <f t="shared" si="13"/>
        <v>2.5</v>
      </c>
      <c r="C861">
        <v>2</v>
      </c>
      <c r="D861">
        <v>1</v>
      </c>
    </row>
    <row r="862" spans="1:4" x14ac:dyDescent="0.5">
      <c r="A862" t="s">
        <v>1775</v>
      </c>
      <c r="B862">
        <f t="shared" si="13"/>
        <v>2.5</v>
      </c>
      <c r="C862">
        <v>2</v>
      </c>
      <c r="D862">
        <v>1</v>
      </c>
    </row>
    <row r="863" spans="1:4" x14ac:dyDescent="0.5">
      <c r="A863" t="s">
        <v>1776</v>
      </c>
      <c r="B863">
        <f t="shared" si="13"/>
        <v>1</v>
      </c>
      <c r="C863">
        <v>1</v>
      </c>
      <c r="D863">
        <v>0</v>
      </c>
    </row>
    <row r="864" spans="1:4" x14ac:dyDescent="0.5">
      <c r="A864" t="s">
        <v>1777</v>
      </c>
      <c r="B864">
        <f t="shared" si="13"/>
        <v>1</v>
      </c>
      <c r="C864">
        <v>1</v>
      </c>
      <c r="D864">
        <v>0</v>
      </c>
    </row>
    <row r="865" spans="1:4" x14ac:dyDescent="0.5">
      <c r="A865" t="s">
        <v>1778</v>
      </c>
      <c r="B865">
        <f t="shared" si="13"/>
        <v>1</v>
      </c>
      <c r="C865">
        <v>1</v>
      </c>
      <c r="D865">
        <v>0</v>
      </c>
    </row>
    <row r="866" spans="1:4" x14ac:dyDescent="0.5">
      <c r="A866" t="s">
        <v>1779</v>
      </c>
      <c r="B866">
        <f t="shared" si="13"/>
        <v>1</v>
      </c>
      <c r="C866">
        <v>1</v>
      </c>
      <c r="D866">
        <v>0</v>
      </c>
    </row>
    <row r="867" spans="1:4" x14ac:dyDescent="0.5">
      <c r="A867" t="s">
        <v>1780</v>
      </c>
      <c r="B867">
        <f t="shared" si="13"/>
        <v>2</v>
      </c>
      <c r="C867">
        <v>2</v>
      </c>
      <c r="D867">
        <v>0</v>
      </c>
    </row>
    <row r="868" spans="1:4" x14ac:dyDescent="0.5">
      <c r="A868" t="s">
        <v>1781</v>
      </c>
      <c r="B868">
        <f t="shared" si="13"/>
        <v>2</v>
      </c>
      <c r="C868">
        <v>2</v>
      </c>
      <c r="D868">
        <v>0</v>
      </c>
    </row>
    <row r="869" spans="1:4" x14ac:dyDescent="0.5">
      <c r="A869" t="s">
        <v>1782</v>
      </c>
      <c r="B869">
        <f t="shared" si="13"/>
        <v>2</v>
      </c>
      <c r="C869">
        <v>2</v>
      </c>
      <c r="D869">
        <v>0</v>
      </c>
    </row>
    <row r="870" spans="1:4" x14ac:dyDescent="0.5">
      <c r="A870" t="s">
        <v>1783</v>
      </c>
      <c r="B870">
        <f t="shared" si="13"/>
        <v>1</v>
      </c>
      <c r="C870">
        <v>1</v>
      </c>
      <c r="D870">
        <v>0</v>
      </c>
    </row>
    <row r="871" spans="1:4" x14ac:dyDescent="0.5">
      <c r="A871" t="s">
        <v>415</v>
      </c>
      <c r="B871">
        <f t="shared" si="13"/>
        <v>1</v>
      </c>
      <c r="C871">
        <v>1</v>
      </c>
      <c r="D871">
        <v>0</v>
      </c>
    </row>
    <row r="872" spans="1:4" x14ac:dyDescent="0.5">
      <c r="A872" t="s">
        <v>1784</v>
      </c>
      <c r="B872">
        <f t="shared" si="13"/>
        <v>1</v>
      </c>
      <c r="C872">
        <v>1</v>
      </c>
      <c r="D872">
        <v>0</v>
      </c>
    </row>
    <row r="873" spans="1:4" x14ac:dyDescent="0.5">
      <c r="A873" t="s">
        <v>1785</v>
      </c>
      <c r="B873">
        <f t="shared" si="13"/>
        <v>3</v>
      </c>
      <c r="C873">
        <v>3</v>
      </c>
      <c r="D873">
        <v>0</v>
      </c>
    </row>
    <row r="874" spans="1:4" x14ac:dyDescent="0.5">
      <c r="A874" t="s">
        <v>1786</v>
      </c>
      <c r="B874">
        <f t="shared" si="13"/>
        <v>1</v>
      </c>
      <c r="C874">
        <v>1</v>
      </c>
      <c r="D874">
        <v>0</v>
      </c>
    </row>
    <row r="875" spans="1:4" x14ac:dyDescent="0.5">
      <c r="A875" t="s">
        <v>1787</v>
      </c>
      <c r="B875" t="e">
        <f t="shared" si="13"/>
        <v>#VALUE!</v>
      </c>
      <c r="C875" t="s">
        <v>2077</v>
      </c>
      <c r="D875">
        <v>1</v>
      </c>
    </row>
    <row r="876" spans="1:4" x14ac:dyDescent="0.5">
      <c r="A876" t="s">
        <v>887</v>
      </c>
      <c r="B876">
        <f t="shared" si="13"/>
        <v>1.5</v>
      </c>
      <c r="C876">
        <v>1</v>
      </c>
      <c r="D876">
        <v>1</v>
      </c>
    </row>
    <row r="877" spans="1:4" x14ac:dyDescent="0.5">
      <c r="A877" t="s">
        <v>894</v>
      </c>
      <c r="B877">
        <f t="shared" si="13"/>
        <v>1</v>
      </c>
      <c r="C877">
        <v>1</v>
      </c>
      <c r="D877">
        <v>0</v>
      </c>
    </row>
    <row r="878" spans="1:4" x14ac:dyDescent="0.5">
      <c r="A878" t="s">
        <v>1788</v>
      </c>
      <c r="B878">
        <f t="shared" si="13"/>
        <v>2</v>
      </c>
      <c r="C878">
        <v>2</v>
      </c>
      <c r="D878">
        <v>0</v>
      </c>
    </row>
    <row r="879" spans="1:4" x14ac:dyDescent="0.5">
      <c r="A879" t="s">
        <v>1789</v>
      </c>
      <c r="B879">
        <f t="shared" si="13"/>
        <v>1</v>
      </c>
      <c r="C879">
        <v>1</v>
      </c>
      <c r="D879">
        <v>0</v>
      </c>
    </row>
    <row r="880" spans="1:4" x14ac:dyDescent="0.5">
      <c r="A880" t="s">
        <v>1790</v>
      </c>
      <c r="B880">
        <f t="shared" si="13"/>
        <v>2.5</v>
      </c>
      <c r="C880">
        <v>2</v>
      </c>
      <c r="D880">
        <v>1</v>
      </c>
    </row>
    <row r="881" spans="1:4" x14ac:dyDescent="0.5">
      <c r="A881" t="s">
        <v>1791</v>
      </c>
      <c r="B881">
        <f t="shared" si="13"/>
        <v>2</v>
      </c>
      <c r="C881">
        <v>2</v>
      </c>
      <c r="D881">
        <v>0</v>
      </c>
    </row>
    <row r="882" spans="1:4" x14ac:dyDescent="0.5">
      <c r="A882" t="s">
        <v>1792</v>
      </c>
      <c r="B882">
        <f t="shared" si="13"/>
        <v>3.5</v>
      </c>
      <c r="C882">
        <v>3</v>
      </c>
      <c r="D882">
        <v>1</v>
      </c>
    </row>
    <row r="883" spans="1:4" x14ac:dyDescent="0.5">
      <c r="A883" t="s">
        <v>1793</v>
      </c>
      <c r="B883">
        <f t="shared" si="13"/>
        <v>1</v>
      </c>
      <c r="C883">
        <v>1</v>
      </c>
      <c r="D883">
        <v>0</v>
      </c>
    </row>
    <row r="884" spans="1:4" x14ac:dyDescent="0.5">
      <c r="A884" t="s">
        <v>526</v>
      </c>
      <c r="B884">
        <f t="shared" si="13"/>
        <v>2</v>
      </c>
      <c r="C884">
        <v>2</v>
      </c>
      <c r="D884">
        <v>0</v>
      </c>
    </row>
    <row r="885" spans="1:4" x14ac:dyDescent="0.5">
      <c r="A885" t="s">
        <v>813</v>
      </c>
      <c r="B885">
        <f t="shared" si="13"/>
        <v>1</v>
      </c>
      <c r="C885">
        <v>1</v>
      </c>
      <c r="D885">
        <v>0</v>
      </c>
    </row>
    <row r="886" spans="1:4" x14ac:dyDescent="0.5">
      <c r="A886" t="s">
        <v>1794</v>
      </c>
      <c r="B886">
        <f t="shared" si="13"/>
        <v>1</v>
      </c>
      <c r="C886">
        <v>1</v>
      </c>
      <c r="D886">
        <v>0</v>
      </c>
    </row>
    <row r="887" spans="1:4" x14ac:dyDescent="0.5">
      <c r="A887" t="s">
        <v>1795</v>
      </c>
      <c r="B887">
        <f t="shared" si="13"/>
        <v>1</v>
      </c>
      <c r="C887">
        <v>1</v>
      </c>
      <c r="D887">
        <v>0</v>
      </c>
    </row>
    <row r="888" spans="1:4" x14ac:dyDescent="0.5">
      <c r="A888" t="s">
        <v>1796</v>
      </c>
      <c r="B888">
        <f t="shared" si="13"/>
        <v>1</v>
      </c>
      <c r="C888">
        <v>1</v>
      </c>
      <c r="D888">
        <v>0</v>
      </c>
    </row>
    <row r="889" spans="1:4" x14ac:dyDescent="0.5">
      <c r="A889" t="s">
        <v>1797</v>
      </c>
      <c r="B889">
        <f t="shared" si="13"/>
        <v>2</v>
      </c>
      <c r="C889">
        <v>2</v>
      </c>
      <c r="D889">
        <v>0</v>
      </c>
    </row>
    <row r="890" spans="1:4" x14ac:dyDescent="0.5">
      <c r="A890" t="s">
        <v>1798</v>
      </c>
      <c r="B890">
        <f t="shared" si="13"/>
        <v>2.5</v>
      </c>
      <c r="C890">
        <v>2</v>
      </c>
      <c r="D890">
        <v>1</v>
      </c>
    </row>
    <row r="891" spans="1:4" x14ac:dyDescent="0.5">
      <c r="A891" t="s">
        <v>1799</v>
      </c>
      <c r="B891">
        <f t="shared" si="13"/>
        <v>1</v>
      </c>
      <c r="C891">
        <v>1</v>
      </c>
      <c r="D891">
        <v>0</v>
      </c>
    </row>
    <row r="892" spans="1:4" x14ac:dyDescent="0.5">
      <c r="A892" t="s">
        <v>1800</v>
      </c>
      <c r="B892">
        <f t="shared" si="13"/>
        <v>1</v>
      </c>
      <c r="C892">
        <v>1</v>
      </c>
      <c r="D892">
        <v>0</v>
      </c>
    </row>
    <row r="893" spans="1:4" x14ac:dyDescent="0.5">
      <c r="A893" t="s">
        <v>1801</v>
      </c>
      <c r="B893">
        <f t="shared" si="13"/>
        <v>2</v>
      </c>
      <c r="C893">
        <v>2</v>
      </c>
      <c r="D893">
        <v>0</v>
      </c>
    </row>
    <row r="894" spans="1:4" x14ac:dyDescent="0.5">
      <c r="A894" t="s">
        <v>1802</v>
      </c>
      <c r="B894">
        <f t="shared" si="13"/>
        <v>1</v>
      </c>
      <c r="C894">
        <v>1</v>
      </c>
      <c r="D894">
        <v>0</v>
      </c>
    </row>
    <row r="895" spans="1:4" x14ac:dyDescent="0.5">
      <c r="A895" t="s">
        <v>1803</v>
      </c>
      <c r="B895">
        <f t="shared" si="13"/>
        <v>1</v>
      </c>
      <c r="C895">
        <v>1</v>
      </c>
      <c r="D895">
        <v>0</v>
      </c>
    </row>
    <row r="896" spans="1:4" x14ac:dyDescent="0.5">
      <c r="A896" t="s">
        <v>1804</v>
      </c>
      <c r="B896">
        <f t="shared" si="13"/>
        <v>1</v>
      </c>
      <c r="C896">
        <v>1</v>
      </c>
      <c r="D896">
        <v>0</v>
      </c>
    </row>
    <row r="897" spans="1:4" x14ac:dyDescent="0.5">
      <c r="A897" t="s">
        <v>1805</v>
      </c>
      <c r="B897">
        <f t="shared" si="13"/>
        <v>1</v>
      </c>
      <c r="C897">
        <v>1</v>
      </c>
      <c r="D897">
        <v>0</v>
      </c>
    </row>
    <row r="898" spans="1:4" x14ac:dyDescent="0.5">
      <c r="A898" t="s">
        <v>1806</v>
      </c>
      <c r="B898">
        <f t="shared" ref="B898:B961" si="14">SUM(C898 + 1/2*D898)</f>
        <v>1</v>
      </c>
      <c r="C898">
        <v>1</v>
      </c>
      <c r="D898">
        <v>0</v>
      </c>
    </row>
    <row r="899" spans="1:4" x14ac:dyDescent="0.5">
      <c r="A899" t="s">
        <v>1807</v>
      </c>
      <c r="B899">
        <f t="shared" si="14"/>
        <v>2</v>
      </c>
      <c r="C899">
        <v>2</v>
      </c>
      <c r="D899">
        <v>0</v>
      </c>
    </row>
    <row r="900" spans="1:4" x14ac:dyDescent="0.5">
      <c r="A900" t="s">
        <v>1808</v>
      </c>
      <c r="B900">
        <f t="shared" si="14"/>
        <v>1</v>
      </c>
      <c r="C900">
        <v>1</v>
      </c>
      <c r="D900">
        <v>0</v>
      </c>
    </row>
    <row r="901" spans="1:4" x14ac:dyDescent="0.5">
      <c r="A901" t="s">
        <v>1809</v>
      </c>
      <c r="B901">
        <f t="shared" si="14"/>
        <v>2.5</v>
      </c>
      <c r="C901">
        <v>2</v>
      </c>
      <c r="D901">
        <v>1</v>
      </c>
    </row>
    <row r="902" spans="1:4" x14ac:dyDescent="0.5">
      <c r="A902" t="s">
        <v>1810</v>
      </c>
      <c r="B902">
        <f t="shared" si="14"/>
        <v>1</v>
      </c>
      <c r="C902">
        <v>1</v>
      </c>
      <c r="D902">
        <v>0</v>
      </c>
    </row>
    <row r="903" spans="1:4" x14ac:dyDescent="0.5">
      <c r="A903" t="s">
        <v>1811</v>
      </c>
      <c r="B903">
        <f t="shared" si="14"/>
        <v>2.5</v>
      </c>
      <c r="C903">
        <v>2</v>
      </c>
      <c r="D903">
        <v>1</v>
      </c>
    </row>
    <row r="904" spans="1:4" x14ac:dyDescent="0.5">
      <c r="A904" t="s">
        <v>1812</v>
      </c>
      <c r="B904">
        <f t="shared" si="14"/>
        <v>1</v>
      </c>
      <c r="C904">
        <v>1</v>
      </c>
      <c r="D904">
        <v>0</v>
      </c>
    </row>
    <row r="905" spans="1:4" x14ac:dyDescent="0.5">
      <c r="A905" t="s">
        <v>1813</v>
      </c>
      <c r="B905">
        <f t="shared" si="14"/>
        <v>1</v>
      </c>
      <c r="C905">
        <v>1</v>
      </c>
      <c r="D905">
        <v>0</v>
      </c>
    </row>
    <row r="906" spans="1:4" x14ac:dyDescent="0.5">
      <c r="A906" t="s">
        <v>1814</v>
      </c>
      <c r="B906">
        <f t="shared" si="14"/>
        <v>2.5</v>
      </c>
      <c r="C906">
        <v>2</v>
      </c>
      <c r="D906">
        <v>1</v>
      </c>
    </row>
    <row r="907" spans="1:4" x14ac:dyDescent="0.5">
      <c r="A907" t="s">
        <v>1815</v>
      </c>
      <c r="B907">
        <f t="shared" si="14"/>
        <v>3.5</v>
      </c>
      <c r="C907">
        <v>3</v>
      </c>
      <c r="D907">
        <v>1</v>
      </c>
    </row>
    <row r="908" spans="1:4" x14ac:dyDescent="0.5">
      <c r="A908" t="s">
        <v>1816</v>
      </c>
      <c r="B908">
        <f t="shared" si="14"/>
        <v>2</v>
      </c>
      <c r="C908">
        <v>2</v>
      </c>
      <c r="D908">
        <v>0</v>
      </c>
    </row>
    <row r="909" spans="1:4" x14ac:dyDescent="0.5">
      <c r="A909" t="s">
        <v>1817</v>
      </c>
      <c r="B909">
        <f t="shared" si="14"/>
        <v>2.5</v>
      </c>
      <c r="C909">
        <v>2</v>
      </c>
      <c r="D909">
        <v>1</v>
      </c>
    </row>
    <row r="910" spans="1:4" x14ac:dyDescent="0.5">
      <c r="A910" t="s">
        <v>1069</v>
      </c>
      <c r="B910">
        <f t="shared" si="14"/>
        <v>1</v>
      </c>
      <c r="C910">
        <v>1</v>
      </c>
      <c r="D910">
        <v>0</v>
      </c>
    </row>
    <row r="911" spans="1:4" x14ac:dyDescent="0.5">
      <c r="A911" t="s">
        <v>1818</v>
      </c>
      <c r="B911">
        <f t="shared" si="14"/>
        <v>1</v>
      </c>
      <c r="C911">
        <v>1</v>
      </c>
      <c r="D911">
        <v>0</v>
      </c>
    </row>
    <row r="912" spans="1:4" x14ac:dyDescent="0.5">
      <c r="A912" t="s">
        <v>1819</v>
      </c>
      <c r="B912">
        <f t="shared" si="14"/>
        <v>1</v>
      </c>
      <c r="C912">
        <v>1</v>
      </c>
      <c r="D912">
        <v>0</v>
      </c>
    </row>
    <row r="913" spans="1:4" x14ac:dyDescent="0.5">
      <c r="A913" t="s">
        <v>1820</v>
      </c>
      <c r="B913">
        <f t="shared" si="14"/>
        <v>2</v>
      </c>
      <c r="C913">
        <v>2</v>
      </c>
      <c r="D913">
        <v>0</v>
      </c>
    </row>
    <row r="914" spans="1:4" x14ac:dyDescent="0.5">
      <c r="A914" t="s">
        <v>1821</v>
      </c>
      <c r="B914">
        <f t="shared" si="14"/>
        <v>1</v>
      </c>
      <c r="C914">
        <v>1</v>
      </c>
      <c r="D914">
        <v>0</v>
      </c>
    </row>
    <row r="915" spans="1:4" x14ac:dyDescent="0.5">
      <c r="A915" t="s">
        <v>1822</v>
      </c>
      <c r="B915">
        <f t="shared" si="14"/>
        <v>3.5</v>
      </c>
      <c r="C915">
        <v>3</v>
      </c>
      <c r="D915">
        <v>1</v>
      </c>
    </row>
    <row r="916" spans="1:4" x14ac:dyDescent="0.5">
      <c r="A916" t="s">
        <v>1823</v>
      </c>
      <c r="B916">
        <f t="shared" si="14"/>
        <v>1</v>
      </c>
      <c r="C916">
        <v>1</v>
      </c>
      <c r="D916">
        <v>0</v>
      </c>
    </row>
    <row r="917" spans="1:4" x14ac:dyDescent="0.5">
      <c r="A917" t="s">
        <v>1797</v>
      </c>
      <c r="B917">
        <f t="shared" si="14"/>
        <v>2</v>
      </c>
      <c r="C917">
        <v>2</v>
      </c>
      <c r="D917">
        <v>0</v>
      </c>
    </row>
    <row r="918" spans="1:4" x14ac:dyDescent="0.5">
      <c r="A918" t="s">
        <v>1824</v>
      </c>
      <c r="B918">
        <f t="shared" si="14"/>
        <v>1</v>
      </c>
      <c r="C918">
        <v>1</v>
      </c>
      <c r="D918">
        <v>0</v>
      </c>
    </row>
    <row r="919" spans="1:4" x14ac:dyDescent="0.5">
      <c r="A919" t="s">
        <v>1825</v>
      </c>
      <c r="B919">
        <f t="shared" si="14"/>
        <v>2</v>
      </c>
      <c r="C919">
        <v>2</v>
      </c>
      <c r="D919">
        <v>0</v>
      </c>
    </row>
    <row r="920" spans="1:4" x14ac:dyDescent="0.5">
      <c r="A920" t="s">
        <v>1826</v>
      </c>
      <c r="B920">
        <f t="shared" si="14"/>
        <v>3.5</v>
      </c>
      <c r="C920">
        <v>3</v>
      </c>
      <c r="D920">
        <v>1</v>
      </c>
    </row>
    <row r="921" spans="1:4" x14ac:dyDescent="0.5">
      <c r="A921" t="s">
        <v>1827</v>
      </c>
      <c r="B921">
        <f t="shared" si="14"/>
        <v>1</v>
      </c>
      <c r="C921">
        <v>1</v>
      </c>
      <c r="D921">
        <v>0</v>
      </c>
    </row>
    <row r="922" spans="1:4" x14ac:dyDescent="0.5">
      <c r="A922" t="s">
        <v>1059</v>
      </c>
      <c r="B922">
        <f t="shared" si="14"/>
        <v>2</v>
      </c>
      <c r="C922">
        <v>2</v>
      </c>
      <c r="D922">
        <v>0</v>
      </c>
    </row>
    <row r="923" spans="1:4" x14ac:dyDescent="0.5">
      <c r="A923" t="s">
        <v>1828</v>
      </c>
      <c r="B923">
        <f t="shared" si="14"/>
        <v>1</v>
      </c>
      <c r="C923">
        <v>1</v>
      </c>
      <c r="D923">
        <v>0</v>
      </c>
    </row>
    <row r="924" spans="1:4" x14ac:dyDescent="0.5">
      <c r="A924" t="s">
        <v>1829</v>
      </c>
      <c r="B924">
        <f t="shared" si="14"/>
        <v>3</v>
      </c>
      <c r="C924">
        <v>3</v>
      </c>
      <c r="D924">
        <v>0</v>
      </c>
    </row>
    <row r="925" spans="1:4" x14ac:dyDescent="0.5">
      <c r="A925" t="s">
        <v>1830</v>
      </c>
      <c r="B925">
        <f t="shared" si="14"/>
        <v>1</v>
      </c>
      <c r="C925">
        <v>1</v>
      </c>
      <c r="D925">
        <v>0</v>
      </c>
    </row>
    <row r="926" spans="1:4" x14ac:dyDescent="0.5">
      <c r="A926" t="s">
        <v>1831</v>
      </c>
      <c r="B926">
        <f t="shared" si="14"/>
        <v>1</v>
      </c>
      <c r="C926">
        <v>1</v>
      </c>
      <c r="D926">
        <v>0</v>
      </c>
    </row>
    <row r="927" spans="1:4" x14ac:dyDescent="0.5">
      <c r="A927" t="s">
        <v>1832</v>
      </c>
      <c r="B927">
        <f t="shared" si="14"/>
        <v>2</v>
      </c>
      <c r="C927">
        <v>2</v>
      </c>
      <c r="D927">
        <v>0</v>
      </c>
    </row>
    <row r="928" spans="1:4" x14ac:dyDescent="0.5">
      <c r="A928" t="s">
        <v>1833</v>
      </c>
      <c r="B928">
        <f t="shared" si="14"/>
        <v>1</v>
      </c>
      <c r="C928">
        <v>1</v>
      </c>
      <c r="D928">
        <v>0</v>
      </c>
    </row>
    <row r="929" spans="1:4" x14ac:dyDescent="0.5">
      <c r="A929" t="s">
        <v>1834</v>
      </c>
      <c r="B929">
        <f t="shared" si="14"/>
        <v>1</v>
      </c>
      <c r="C929">
        <v>1</v>
      </c>
      <c r="D929">
        <v>0</v>
      </c>
    </row>
    <row r="930" spans="1:4" x14ac:dyDescent="0.5">
      <c r="A930" t="s">
        <v>1835</v>
      </c>
      <c r="B930">
        <f t="shared" si="14"/>
        <v>1</v>
      </c>
      <c r="C930">
        <v>1</v>
      </c>
      <c r="D930">
        <v>0</v>
      </c>
    </row>
    <row r="931" spans="1:4" x14ac:dyDescent="0.5">
      <c r="A931" t="s">
        <v>1836</v>
      </c>
      <c r="B931">
        <f t="shared" si="14"/>
        <v>2.5</v>
      </c>
      <c r="C931">
        <v>2</v>
      </c>
      <c r="D931">
        <v>1</v>
      </c>
    </row>
    <row r="932" spans="1:4" x14ac:dyDescent="0.5">
      <c r="A932" t="s">
        <v>1837</v>
      </c>
      <c r="B932">
        <f t="shared" si="14"/>
        <v>1</v>
      </c>
      <c r="C932">
        <v>1</v>
      </c>
      <c r="D932">
        <v>0</v>
      </c>
    </row>
    <row r="933" spans="1:4" x14ac:dyDescent="0.5">
      <c r="A933" t="s">
        <v>1838</v>
      </c>
      <c r="B933">
        <f t="shared" si="14"/>
        <v>1</v>
      </c>
      <c r="C933">
        <v>1</v>
      </c>
      <c r="D933">
        <v>0</v>
      </c>
    </row>
    <row r="934" spans="1:4" x14ac:dyDescent="0.5">
      <c r="A934" t="s">
        <v>1839</v>
      </c>
      <c r="B934">
        <f t="shared" si="14"/>
        <v>2</v>
      </c>
      <c r="C934">
        <v>2</v>
      </c>
      <c r="D934">
        <v>0</v>
      </c>
    </row>
    <row r="935" spans="1:4" x14ac:dyDescent="0.5">
      <c r="A935" t="s">
        <v>1840</v>
      </c>
      <c r="B935">
        <f t="shared" si="14"/>
        <v>2.5</v>
      </c>
      <c r="C935">
        <v>2</v>
      </c>
      <c r="D935">
        <v>1</v>
      </c>
    </row>
    <row r="936" spans="1:4" x14ac:dyDescent="0.5">
      <c r="A936" t="s">
        <v>1841</v>
      </c>
      <c r="B936">
        <f t="shared" si="14"/>
        <v>2.5</v>
      </c>
      <c r="C936">
        <v>2</v>
      </c>
      <c r="D936">
        <v>1</v>
      </c>
    </row>
    <row r="937" spans="1:4" x14ac:dyDescent="0.5">
      <c r="A937" t="s">
        <v>1842</v>
      </c>
      <c r="B937">
        <f t="shared" si="14"/>
        <v>1</v>
      </c>
      <c r="C937">
        <v>1</v>
      </c>
      <c r="D937">
        <v>0</v>
      </c>
    </row>
    <row r="938" spans="1:4" x14ac:dyDescent="0.5">
      <c r="A938" t="s">
        <v>1843</v>
      </c>
      <c r="B938">
        <f t="shared" si="14"/>
        <v>3.5</v>
      </c>
      <c r="C938">
        <v>3</v>
      </c>
      <c r="D938">
        <v>1</v>
      </c>
    </row>
    <row r="939" spans="1:4" x14ac:dyDescent="0.5">
      <c r="A939" t="s">
        <v>1844</v>
      </c>
      <c r="B939">
        <f t="shared" si="14"/>
        <v>1.5</v>
      </c>
      <c r="C939">
        <v>1</v>
      </c>
      <c r="D939">
        <v>1</v>
      </c>
    </row>
    <row r="940" spans="1:4" x14ac:dyDescent="0.5">
      <c r="A940" t="s">
        <v>1845</v>
      </c>
      <c r="B940">
        <f t="shared" si="14"/>
        <v>2</v>
      </c>
      <c r="C940">
        <v>2</v>
      </c>
      <c r="D940">
        <v>0</v>
      </c>
    </row>
    <row r="941" spans="1:4" x14ac:dyDescent="0.5">
      <c r="A941" t="s">
        <v>1846</v>
      </c>
      <c r="B941">
        <f t="shared" si="14"/>
        <v>1</v>
      </c>
      <c r="C941">
        <v>1</v>
      </c>
      <c r="D941">
        <v>0</v>
      </c>
    </row>
    <row r="942" spans="1:4" x14ac:dyDescent="0.5">
      <c r="A942" t="s">
        <v>1847</v>
      </c>
      <c r="B942" t="e">
        <f t="shared" si="14"/>
        <v>#VALUE!</v>
      </c>
      <c r="C942" t="s">
        <v>2077</v>
      </c>
      <c r="D942">
        <v>1</v>
      </c>
    </row>
    <row r="943" spans="1:4" x14ac:dyDescent="0.5">
      <c r="A943" t="s">
        <v>1848</v>
      </c>
      <c r="B943">
        <f t="shared" si="14"/>
        <v>1</v>
      </c>
      <c r="C943">
        <v>1</v>
      </c>
      <c r="D943">
        <v>0</v>
      </c>
    </row>
    <row r="944" spans="1:4" x14ac:dyDescent="0.5">
      <c r="A944" t="s">
        <v>1849</v>
      </c>
      <c r="B944">
        <f t="shared" si="14"/>
        <v>1</v>
      </c>
      <c r="C944">
        <v>1</v>
      </c>
      <c r="D944">
        <v>0</v>
      </c>
    </row>
    <row r="945" spans="1:4" x14ac:dyDescent="0.5">
      <c r="A945" t="s">
        <v>1850</v>
      </c>
      <c r="B945">
        <f t="shared" si="14"/>
        <v>1</v>
      </c>
      <c r="C945">
        <v>1</v>
      </c>
      <c r="D945">
        <v>0</v>
      </c>
    </row>
    <row r="946" spans="1:4" x14ac:dyDescent="0.5">
      <c r="A946" t="s">
        <v>1851</v>
      </c>
      <c r="B946">
        <f t="shared" si="14"/>
        <v>1</v>
      </c>
      <c r="C946">
        <v>1</v>
      </c>
      <c r="D946">
        <v>0</v>
      </c>
    </row>
    <row r="947" spans="1:4" x14ac:dyDescent="0.5">
      <c r="A947" t="s">
        <v>1852</v>
      </c>
      <c r="B947">
        <f t="shared" si="14"/>
        <v>1</v>
      </c>
      <c r="C947">
        <v>1</v>
      </c>
      <c r="D947">
        <v>0</v>
      </c>
    </row>
    <row r="948" spans="1:4" x14ac:dyDescent="0.5">
      <c r="A948" t="s">
        <v>482</v>
      </c>
      <c r="B948">
        <f t="shared" si="14"/>
        <v>2</v>
      </c>
      <c r="C948">
        <v>2</v>
      </c>
      <c r="D948">
        <v>0</v>
      </c>
    </row>
    <row r="949" spans="1:4" x14ac:dyDescent="0.5">
      <c r="A949" t="s">
        <v>1853</v>
      </c>
      <c r="B949">
        <f t="shared" si="14"/>
        <v>1</v>
      </c>
      <c r="C949">
        <v>1</v>
      </c>
      <c r="D949">
        <v>0</v>
      </c>
    </row>
    <row r="950" spans="1:4" x14ac:dyDescent="0.5">
      <c r="A950" t="s">
        <v>1854</v>
      </c>
      <c r="B950">
        <f t="shared" si="14"/>
        <v>2.5</v>
      </c>
      <c r="C950">
        <v>2</v>
      </c>
      <c r="D950">
        <v>1</v>
      </c>
    </row>
    <row r="951" spans="1:4" x14ac:dyDescent="0.5">
      <c r="A951" t="s">
        <v>1855</v>
      </c>
      <c r="B951">
        <f t="shared" si="14"/>
        <v>1</v>
      </c>
      <c r="C951">
        <v>1</v>
      </c>
      <c r="D951">
        <v>0</v>
      </c>
    </row>
    <row r="952" spans="1:4" x14ac:dyDescent="0.5">
      <c r="A952" t="s">
        <v>1856</v>
      </c>
      <c r="B952">
        <f t="shared" si="14"/>
        <v>1</v>
      </c>
      <c r="C952">
        <v>1</v>
      </c>
      <c r="D952">
        <v>0</v>
      </c>
    </row>
    <row r="953" spans="1:4" x14ac:dyDescent="0.5">
      <c r="A953" t="s">
        <v>1857</v>
      </c>
      <c r="B953">
        <f t="shared" si="14"/>
        <v>3.5</v>
      </c>
      <c r="C953">
        <v>3</v>
      </c>
      <c r="D953">
        <v>1</v>
      </c>
    </row>
    <row r="954" spans="1:4" x14ac:dyDescent="0.5">
      <c r="A954" t="s">
        <v>1858</v>
      </c>
      <c r="B954">
        <f t="shared" si="14"/>
        <v>3</v>
      </c>
      <c r="C954">
        <v>3</v>
      </c>
      <c r="D954">
        <v>0</v>
      </c>
    </row>
    <row r="955" spans="1:4" x14ac:dyDescent="0.5">
      <c r="A955" t="s">
        <v>1859</v>
      </c>
      <c r="B955">
        <f t="shared" si="14"/>
        <v>3</v>
      </c>
      <c r="C955">
        <v>2</v>
      </c>
      <c r="D955">
        <v>2</v>
      </c>
    </row>
    <row r="956" spans="1:4" x14ac:dyDescent="0.5">
      <c r="A956" t="s">
        <v>1860</v>
      </c>
      <c r="B956">
        <f t="shared" si="14"/>
        <v>1</v>
      </c>
      <c r="C956">
        <v>1</v>
      </c>
      <c r="D956">
        <v>0</v>
      </c>
    </row>
    <row r="957" spans="1:4" x14ac:dyDescent="0.5">
      <c r="A957" t="s">
        <v>1861</v>
      </c>
      <c r="B957">
        <f t="shared" si="14"/>
        <v>2.5</v>
      </c>
      <c r="C957">
        <v>2</v>
      </c>
      <c r="D957">
        <v>1</v>
      </c>
    </row>
    <row r="958" spans="1:4" x14ac:dyDescent="0.5">
      <c r="A958" t="s">
        <v>704</v>
      </c>
      <c r="B958">
        <f t="shared" si="14"/>
        <v>2.5</v>
      </c>
      <c r="C958">
        <v>2</v>
      </c>
      <c r="D958">
        <v>1</v>
      </c>
    </row>
    <row r="959" spans="1:4" x14ac:dyDescent="0.5">
      <c r="A959" t="s">
        <v>1862</v>
      </c>
      <c r="B959">
        <f t="shared" si="14"/>
        <v>1</v>
      </c>
      <c r="C959">
        <v>1</v>
      </c>
      <c r="D959">
        <v>0</v>
      </c>
    </row>
    <row r="960" spans="1:4" x14ac:dyDescent="0.5">
      <c r="A960" t="s">
        <v>1863</v>
      </c>
      <c r="B960" t="e">
        <f t="shared" si="14"/>
        <v>#VALUE!</v>
      </c>
      <c r="C960" t="s">
        <v>2077</v>
      </c>
      <c r="D960">
        <v>1</v>
      </c>
    </row>
    <row r="961" spans="1:4" x14ac:dyDescent="0.5">
      <c r="A961" t="s">
        <v>1864</v>
      </c>
      <c r="B961">
        <f t="shared" si="14"/>
        <v>1</v>
      </c>
      <c r="C961">
        <v>1</v>
      </c>
      <c r="D961">
        <v>0</v>
      </c>
    </row>
    <row r="962" spans="1:4" x14ac:dyDescent="0.5">
      <c r="A962" t="s">
        <v>1865</v>
      </c>
      <c r="B962">
        <f t="shared" ref="B962:B1025" si="15">SUM(C962 + 1/2*D962)</f>
        <v>1</v>
      </c>
      <c r="C962">
        <v>1</v>
      </c>
      <c r="D962">
        <v>0</v>
      </c>
    </row>
    <row r="963" spans="1:4" x14ac:dyDescent="0.5">
      <c r="A963" t="s">
        <v>1866</v>
      </c>
      <c r="B963">
        <f t="shared" si="15"/>
        <v>2.5</v>
      </c>
      <c r="C963">
        <v>2</v>
      </c>
      <c r="D963">
        <v>1</v>
      </c>
    </row>
    <row r="964" spans="1:4" x14ac:dyDescent="0.5">
      <c r="A964" t="s">
        <v>1867</v>
      </c>
      <c r="B964">
        <f t="shared" si="15"/>
        <v>1.5</v>
      </c>
      <c r="C964">
        <v>1</v>
      </c>
      <c r="D964">
        <v>1</v>
      </c>
    </row>
    <row r="965" spans="1:4" x14ac:dyDescent="0.5">
      <c r="A965" t="s">
        <v>1868</v>
      </c>
      <c r="B965">
        <f t="shared" si="15"/>
        <v>1</v>
      </c>
      <c r="C965">
        <v>1</v>
      </c>
      <c r="D965">
        <v>0</v>
      </c>
    </row>
    <row r="966" spans="1:4" x14ac:dyDescent="0.5">
      <c r="A966" t="s">
        <v>1869</v>
      </c>
      <c r="B966">
        <f t="shared" si="15"/>
        <v>1.5</v>
      </c>
      <c r="C966">
        <v>1</v>
      </c>
      <c r="D966">
        <v>1</v>
      </c>
    </row>
    <row r="967" spans="1:4" x14ac:dyDescent="0.5">
      <c r="A967" t="s">
        <v>1870</v>
      </c>
      <c r="B967">
        <f t="shared" si="15"/>
        <v>1</v>
      </c>
      <c r="C967">
        <v>1</v>
      </c>
      <c r="D967">
        <v>0</v>
      </c>
    </row>
    <row r="968" spans="1:4" x14ac:dyDescent="0.5">
      <c r="A968" t="s">
        <v>1871</v>
      </c>
      <c r="B968">
        <f t="shared" si="15"/>
        <v>1</v>
      </c>
      <c r="C968">
        <v>1</v>
      </c>
      <c r="D968">
        <v>0</v>
      </c>
    </row>
    <row r="969" spans="1:4" x14ac:dyDescent="0.5">
      <c r="A969" t="s">
        <v>1869</v>
      </c>
      <c r="B969">
        <f t="shared" si="15"/>
        <v>1.5</v>
      </c>
      <c r="C969">
        <v>1</v>
      </c>
      <c r="D969">
        <v>1</v>
      </c>
    </row>
    <row r="970" spans="1:4" x14ac:dyDescent="0.5">
      <c r="A970" t="s">
        <v>1872</v>
      </c>
      <c r="B970">
        <f t="shared" si="15"/>
        <v>1</v>
      </c>
      <c r="C970">
        <v>1</v>
      </c>
      <c r="D970">
        <v>0</v>
      </c>
    </row>
    <row r="971" spans="1:4" x14ac:dyDescent="0.5">
      <c r="A971" t="s">
        <v>1873</v>
      </c>
      <c r="B971">
        <f t="shared" si="15"/>
        <v>1</v>
      </c>
      <c r="C971">
        <v>1</v>
      </c>
      <c r="D971">
        <v>0</v>
      </c>
    </row>
    <row r="972" spans="1:4" x14ac:dyDescent="0.5">
      <c r="A972" t="s">
        <v>1874</v>
      </c>
      <c r="B972">
        <f t="shared" si="15"/>
        <v>2</v>
      </c>
      <c r="C972">
        <v>2</v>
      </c>
      <c r="D972">
        <v>0</v>
      </c>
    </row>
    <row r="973" spans="1:4" x14ac:dyDescent="0.5">
      <c r="A973" t="s">
        <v>1875</v>
      </c>
      <c r="B973">
        <f t="shared" si="15"/>
        <v>1</v>
      </c>
      <c r="C973">
        <v>1</v>
      </c>
      <c r="D973">
        <v>0</v>
      </c>
    </row>
    <row r="974" spans="1:4" x14ac:dyDescent="0.5">
      <c r="A974" t="s">
        <v>1876</v>
      </c>
      <c r="B974">
        <f t="shared" si="15"/>
        <v>1</v>
      </c>
      <c r="C974">
        <v>1</v>
      </c>
      <c r="D974">
        <v>0</v>
      </c>
    </row>
    <row r="975" spans="1:4" x14ac:dyDescent="0.5">
      <c r="A975" t="s">
        <v>1877</v>
      </c>
      <c r="B975">
        <f t="shared" si="15"/>
        <v>3.5</v>
      </c>
      <c r="C975">
        <v>3</v>
      </c>
      <c r="D975">
        <v>1</v>
      </c>
    </row>
    <row r="976" spans="1:4" x14ac:dyDescent="0.5">
      <c r="A976" t="s">
        <v>1878</v>
      </c>
      <c r="B976">
        <f t="shared" si="15"/>
        <v>2</v>
      </c>
      <c r="C976">
        <v>2</v>
      </c>
      <c r="D976">
        <v>0</v>
      </c>
    </row>
    <row r="977" spans="1:4" x14ac:dyDescent="0.5">
      <c r="A977" t="s">
        <v>1879</v>
      </c>
      <c r="B977">
        <f t="shared" si="15"/>
        <v>1</v>
      </c>
      <c r="C977">
        <v>1</v>
      </c>
      <c r="D977">
        <v>0</v>
      </c>
    </row>
    <row r="978" spans="1:4" x14ac:dyDescent="0.5">
      <c r="A978" t="s">
        <v>1880</v>
      </c>
      <c r="B978">
        <f t="shared" si="15"/>
        <v>2.5</v>
      </c>
      <c r="C978">
        <v>2</v>
      </c>
      <c r="D978">
        <v>1</v>
      </c>
    </row>
    <row r="979" spans="1:4" x14ac:dyDescent="0.5">
      <c r="A979" t="s">
        <v>1869</v>
      </c>
      <c r="B979">
        <f t="shared" si="15"/>
        <v>1</v>
      </c>
      <c r="C979">
        <v>1</v>
      </c>
      <c r="D979">
        <v>0</v>
      </c>
    </row>
    <row r="980" spans="1:4" x14ac:dyDescent="0.5">
      <c r="A980" t="s">
        <v>1869</v>
      </c>
      <c r="B980">
        <f t="shared" si="15"/>
        <v>1</v>
      </c>
      <c r="C980">
        <v>1</v>
      </c>
      <c r="D980">
        <v>0</v>
      </c>
    </row>
    <row r="981" spans="1:4" x14ac:dyDescent="0.5">
      <c r="A981" t="s">
        <v>1881</v>
      </c>
      <c r="B981">
        <f t="shared" si="15"/>
        <v>1</v>
      </c>
      <c r="C981">
        <v>1</v>
      </c>
      <c r="D981">
        <v>0</v>
      </c>
    </row>
    <row r="982" spans="1:4" x14ac:dyDescent="0.5">
      <c r="A982" t="s">
        <v>1882</v>
      </c>
      <c r="B982">
        <f t="shared" si="15"/>
        <v>2</v>
      </c>
      <c r="C982">
        <v>2</v>
      </c>
      <c r="D982">
        <v>0</v>
      </c>
    </row>
    <row r="983" spans="1:4" x14ac:dyDescent="0.5">
      <c r="A983" t="s">
        <v>1883</v>
      </c>
      <c r="B983">
        <f t="shared" si="15"/>
        <v>1</v>
      </c>
      <c r="C983">
        <v>1</v>
      </c>
      <c r="D983">
        <v>0</v>
      </c>
    </row>
    <row r="984" spans="1:4" x14ac:dyDescent="0.5">
      <c r="A984" t="s">
        <v>1884</v>
      </c>
      <c r="B984">
        <f t="shared" si="15"/>
        <v>1.5</v>
      </c>
      <c r="C984">
        <v>1</v>
      </c>
      <c r="D984">
        <v>1</v>
      </c>
    </row>
    <row r="985" spans="1:4" x14ac:dyDescent="0.5">
      <c r="A985" t="s">
        <v>1885</v>
      </c>
      <c r="B985">
        <f t="shared" si="15"/>
        <v>2.5</v>
      </c>
      <c r="C985">
        <v>2</v>
      </c>
      <c r="D985">
        <v>1</v>
      </c>
    </row>
    <row r="986" spans="1:4" x14ac:dyDescent="0.5">
      <c r="A986" t="s">
        <v>1886</v>
      </c>
      <c r="B986">
        <f t="shared" si="15"/>
        <v>1</v>
      </c>
      <c r="C986">
        <v>1</v>
      </c>
      <c r="D986">
        <v>0</v>
      </c>
    </row>
    <row r="987" spans="1:4" x14ac:dyDescent="0.5">
      <c r="A987" t="s">
        <v>1887</v>
      </c>
      <c r="B987">
        <f t="shared" si="15"/>
        <v>2</v>
      </c>
      <c r="C987">
        <v>2</v>
      </c>
      <c r="D987">
        <v>0</v>
      </c>
    </row>
    <row r="988" spans="1:4" x14ac:dyDescent="0.5">
      <c r="A988" t="s">
        <v>1888</v>
      </c>
      <c r="B988">
        <f t="shared" si="15"/>
        <v>1</v>
      </c>
      <c r="C988">
        <v>1</v>
      </c>
      <c r="D988">
        <v>0</v>
      </c>
    </row>
    <row r="989" spans="1:4" x14ac:dyDescent="0.5">
      <c r="A989" t="s">
        <v>1889</v>
      </c>
      <c r="B989">
        <f t="shared" si="15"/>
        <v>1</v>
      </c>
      <c r="C989">
        <v>1</v>
      </c>
      <c r="D989">
        <v>0</v>
      </c>
    </row>
    <row r="990" spans="1:4" x14ac:dyDescent="0.5">
      <c r="A990" t="s">
        <v>1890</v>
      </c>
      <c r="B990">
        <f t="shared" si="15"/>
        <v>1.5</v>
      </c>
      <c r="C990">
        <v>1</v>
      </c>
      <c r="D990">
        <v>1</v>
      </c>
    </row>
    <row r="991" spans="1:4" x14ac:dyDescent="0.5">
      <c r="A991" t="s">
        <v>1891</v>
      </c>
      <c r="B991">
        <f t="shared" si="15"/>
        <v>1</v>
      </c>
      <c r="C991">
        <v>1</v>
      </c>
      <c r="D991">
        <v>0</v>
      </c>
    </row>
    <row r="992" spans="1:4" x14ac:dyDescent="0.5">
      <c r="A992" t="s">
        <v>1892</v>
      </c>
      <c r="B992" t="e">
        <f t="shared" si="15"/>
        <v>#VALUE!</v>
      </c>
      <c r="C992" t="s">
        <v>2077</v>
      </c>
      <c r="D992">
        <v>1</v>
      </c>
    </row>
    <row r="993" spans="1:4" x14ac:dyDescent="0.5">
      <c r="A993" t="s">
        <v>1893</v>
      </c>
      <c r="B993">
        <f t="shared" si="15"/>
        <v>1</v>
      </c>
      <c r="C993">
        <v>1</v>
      </c>
      <c r="D993">
        <v>0</v>
      </c>
    </row>
    <row r="994" spans="1:4" x14ac:dyDescent="0.5">
      <c r="A994" t="s">
        <v>1894</v>
      </c>
      <c r="B994">
        <f t="shared" si="15"/>
        <v>2.5</v>
      </c>
      <c r="C994">
        <v>2</v>
      </c>
      <c r="D994">
        <v>1</v>
      </c>
    </row>
    <row r="995" spans="1:4" x14ac:dyDescent="0.5">
      <c r="A995" t="s">
        <v>1895</v>
      </c>
      <c r="B995">
        <f t="shared" si="15"/>
        <v>2.5</v>
      </c>
      <c r="C995">
        <v>2</v>
      </c>
      <c r="D995">
        <v>1</v>
      </c>
    </row>
    <row r="996" spans="1:4" x14ac:dyDescent="0.5">
      <c r="A996" t="s">
        <v>1896</v>
      </c>
      <c r="B996">
        <f t="shared" si="15"/>
        <v>2</v>
      </c>
      <c r="C996">
        <v>2</v>
      </c>
      <c r="D996">
        <v>0</v>
      </c>
    </row>
    <row r="997" spans="1:4" x14ac:dyDescent="0.5">
      <c r="A997" t="s">
        <v>1897</v>
      </c>
      <c r="B997">
        <f t="shared" si="15"/>
        <v>2.5</v>
      </c>
      <c r="C997">
        <v>2</v>
      </c>
      <c r="D997">
        <v>1</v>
      </c>
    </row>
    <row r="998" spans="1:4" x14ac:dyDescent="0.5">
      <c r="A998" t="s">
        <v>1898</v>
      </c>
      <c r="B998">
        <f t="shared" si="15"/>
        <v>2</v>
      </c>
      <c r="C998">
        <v>2</v>
      </c>
      <c r="D998">
        <v>0</v>
      </c>
    </row>
    <row r="999" spans="1:4" x14ac:dyDescent="0.5">
      <c r="A999" t="s">
        <v>966</v>
      </c>
      <c r="B999">
        <f t="shared" si="15"/>
        <v>1</v>
      </c>
      <c r="C999">
        <v>1</v>
      </c>
      <c r="D999">
        <v>0</v>
      </c>
    </row>
    <row r="1000" spans="1:4" x14ac:dyDescent="0.5">
      <c r="A1000" t="s">
        <v>161</v>
      </c>
      <c r="B1000">
        <f t="shared" si="15"/>
        <v>1</v>
      </c>
      <c r="C1000">
        <v>1</v>
      </c>
      <c r="D1000">
        <v>0</v>
      </c>
    </row>
    <row r="1001" spans="1:4" x14ac:dyDescent="0.5">
      <c r="A1001" t="s">
        <v>1899</v>
      </c>
      <c r="B1001">
        <f t="shared" si="15"/>
        <v>1</v>
      </c>
      <c r="C1001">
        <v>1</v>
      </c>
      <c r="D1001">
        <v>0</v>
      </c>
    </row>
    <row r="1002" spans="1:4" x14ac:dyDescent="0.5">
      <c r="A1002" t="s">
        <v>1900</v>
      </c>
      <c r="B1002">
        <f t="shared" si="15"/>
        <v>3.5</v>
      </c>
      <c r="C1002">
        <v>3</v>
      </c>
      <c r="D1002">
        <v>1</v>
      </c>
    </row>
    <row r="1003" spans="1:4" x14ac:dyDescent="0.5">
      <c r="A1003" t="s">
        <v>1901</v>
      </c>
      <c r="B1003">
        <f t="shared" si="15"/>
        <v>1</v>
      </c>
      <c r="C1003">
        <v>1</v>
      </c>
      <c r="D1003">
        <v>0</v>
      </c>
    </row>
    <row r="1004" spans="1:4" x14ac:dyDescent="0.5">
      <c r="A1004" t="s">
        <v>1902</v>
      </c>
      <c r="B1004">
        <f t="shared" si="15"/>
        <v>1</v>
      </c>
      <c r="C1004">
        <v>1</v>
      </c>
      <c r="D1004">
        <v>0</v>
      </c>
    </row>
    <row r="1005" spans="1:4" x14ac:dyDescent="0.5">
      <c r="A1005" t="s">
        <v>1903</v>
      </c>
      <c r="B1005">
        <f t="shared" si="15"/>
        <v>1</v>
      </c>
      <c r="C1005">
        <v>1</v>
      </c>
      <c r="D1005">
        <v>0</v>
      </c>
    </row>
    <row r="1006" spans="1:4" x14ac:dyDescent="0.5">
      <c r="A1006" t="s">
        <v>1904</v>
      </c>
      <c r="B1006">
        <f t="shared" si="15"/>
        <v>1</v>
      </c>
      <c r="C1006">
        <v>1</v>
      </c>
      <c r="D1006">
        <v>0</v>
      </c>
    </row>
    <row r="1007" spans="1:4" x14ac:dyDescent="0.5">
      <c r="A1007" t="s">
        <v>1905</v>
      </c>
      <c r="B1007">
        <f t="shared" si="15"/>
        <v>1</v>
      </c>
      <c r="C1007">
        <v>1</v>
      </c>
      <c r="D1007">
        <v>0</v>
      </c>
    </row>
    <row r="1008" spans="1:4" x14ac:dyDescent="0.5">
      <c r="A1008" t="s">
        <v>1906</v>
      </c>
      <c r="B1008">
        <f t="shared" si="15"/>
        <v>1</v>
      </c>
      <c r="C1008">
        <v>1</v>
      </c>
      <c r="D1008">
        <v>0</v>
      </c>
    </row>
    <row r="1009" spans="1:4" x14ac:dyDescent="0.5">
      <c r="A1009" t="s">
        <v>1907</v>
      </c>
      <c r="B1009">
        <f t="shared" si="15"/>
        <v>2</v>
      </c>
      <c r="C1009">
        <v>2</v>
      </c>
      <c r="D1009">
        <v>0</v>
      </c>
    </row>
    <row r="1010" spans="1:4" x14ac:dyDescent="0.5">
      <c r="A1010" t="s">
        <v>771</v>
      </c>
      <c r="B1010">
        <f t="shared" si="15"/>
        <v>1</v>
      </c>
      <c r="C1010">
        <v>1</v>
      </c>
      <c r="D1010">
        <v>0</v>
      </c>
    </row>
    <row r="1011" spans="1:4" x14ac:dyDescent="0.5">
      <c r="A1011" t="s">
        <v>1908</v>
      </c>
      <c r="B1011">
        <f t="shared" si="15"/>
        <v>1</v>
      </c>
      <c r="C1011">
        <v>1</v>
      </c>
      <c r="D1011">
        <v>0</v>
      </c>
    </row>
    <row r="1012" spans="1:4" x14ac:dyDescent="0.5">
      <c r="A1012" t="s">
        <v>1909</v>
      </c>
      <c r="B1012">
        <f t="shared" si="15"/>
        <v>1</v>
      </c>
      <c r="C1012">
        <v>1</v>
      </c>
      <c r="D1012">
        <v>0</v>
      </c>
    </row>
    <row r="1013" spans="1:4" x14ac:dyDescent="0.5">
      <c r="A1013" t="s">
        <v>1910</v>
      </c>
      <c r="B1013">
        <f t="shared" si="15"/>
        <v>1</v>
      </c>
      <c r="C1013">
        <v>1</v>
      </c>
      <c r="D1013">
        <v>0</v>
      </c>
    </row>
    <row r="1014" spans="1:4" x14ac:dyDescent="0.5">
      <c r="A1014" t="s">
        <v>1911</v>
      </c>
      <c r="B1014">
        <f t="shared" si="15"/>
        <v>1</v>
      </c>
      <c r="C1014">
        <v>1</v>
      </c>
      <c r="D1014">
        <v>0</v>
      </c>
    </row>
    <row r="1015" spans="1:4" x14ac:dyDescent="0.5">
      <c r="A1015" t="s">
        <v>1912</v>
      </c>
      <c r="B1015">
        <f t="shared" si="15"/>
        <v>1</v>
      </c>
      <c r="C1015">
        <v>1</v>
      </c>
      <c r="D1015">
        <v>0</v>
      </c>
    </row>
    <row r="1016" spans="1:4" x14ac:dyDescent="0.5">
      <c r="A1016" t="s">
        <v>1913</v>
      </c>
      <c r="B1016">
        <f t="shared" si="15"/>
        <v>1.5</v>
      </c>
      <c r="C1016">
        <v>1</v>
      </c>
      <c r="D1016">
        <v>1</v>
      </c>
    </row>
    <row r="1017" spans="1:4" x14ac:dyDescent="0.5">
      <c r="A1017" t="s">
        <v>1914</v>
      </c>
      <c r="B1017">
        <f t="shared" si="15"/>
        <v>1</v>
      </c>
      <c r="C1017">
        <v>1</v>
      </c>
      <c r="D1017">
        <v>0</v>
      </c>
    </row>
    <row r="1018" spans="1:4" x14ac:dyDescent="0.5">
      <c r="A1018" t="s">
        <v>1915</v>
      </c>
      <c r="B1018">
        <f t="shared" si="15"/>
        <v>1</v>
      </c>
      <c r="C1018">
        <v>1</v>
      </c>
      <c r="D1018">
        <v>0</v>
      </c>
    </row>
    <row r="1019" spans="1:4" x14ac:dyDescent="0.5">
      <c r="A1019" t="s">
        <v>1916</v>
      </c>
      <c r="B1019">
        <f t="shared" si="15"/>
        <v>3</v>
      </c>
      <c r="C1019">
        <v>3</v>
      </c>
      <c r="D1019">
        <v>0</v>
      </c>
    </row>
    <row r="1020" spans="1:4" x14ac:dyDescent="0.5">
      <c r="A1020" t="s">
        <v>1917</v>
      </c>
      <c r="B1020">
        <f t="shared" si="15"/>
        <v>1</v>
      </c>
      <c r="C1020">
        <v>1</v>
      </c>
      <c r="D1020">
        <v>0</v>
      </c>
    </row>
    <row r="1021" spans="1:4" x14ac:dyDescent="0.5">
      <c r="A1021" t="s">
        <v>1918</v>
      </c>
      <c r="B1021">
        <f t="shared" si="15"/>
        <v>3</v>
      </c>
      <c r="C1021">
        <v>3</v>
      </c>
      <c r="D1021">
        <v>0</v>
      </c>
    </row>
    <row r="1022" spans="1:4" x14ac:dyDescent="0.5">
      <c r="A1022" t="s">
        <v>1919</v>
      </c>
      <c r="B1022">
        <f t="shared" si="15"/>
        <v>1</v>
      </c>
      <c r="C1022">
        <v>1</v>
      </c>
      <c r="D1022">
        <v>0</v>
      </c>
    </row>
    <row r="1023" spans="1:4" x14ac:dyDescent="0.5">
      <c r="A1023" t="s">
        <v>1920</v>
      </c>
      <c r="B1023">
        <f t="shared" si="15"/>
        <v>2</v>
      </c>
      <c r="C1023">
        <v>2</v>
      </c>
      <c r="D1023">
        <v>0</v>
      </c>
    </row>
    <row r="1024" spans="1:4" x14ac:dyDescent="0.5">
      <c r="A1024" t="s">
        <v>1921</v>
      </c>
      <c r="B1024">
        <f t="shared" si="15"/>
        <v>1</v>
      </c>
      <c r="C1024">
        <v>1</v>
      </c>
      <c r="D1024">
        <v>0</v>
      </c>
    </row>
    <row r="1025" spans="1:4" x14ac:dyDescent="0.5">
      <c r="A1025" t="s">
        <v>1922</v>
      </c>
      <c r="B1025">
        <f t="shared" si="15"/>
        <v>1</v>
      </c>
      <c r="C1025">
        <v>1</v>
      </c>
      <c r="D1025">
        <v>0</v>
      </c>
    </row>
    <row r="1026" spans="1:4" x14ac:dyDescent="0.5">
      <c r="A1026" t="s">
        <v>1923</v>
      </c>
      <c r="B1026">
        <f t="shared" ref="B1026:B1089" si="16">SUM(C1026 + 1/2*D1026)</f>
        <v>1</v>
      </c>
      <c r="C1026">
        <v>1</v>
      </c>
      <c r="D1026">
        <v>0</v>
      </c>
    </row>
    <row r="1027" spans="1:4" x14ac:dyDescent="0.5">
      <c r="A1027" t="s">
        <v>1924</v>
      </c>
      <c r="B1027">
        <f t="shared" si="16"/>
        <v>2</v>
      </c>
      <c r="C1027">
        <v>2</v>
      </c>
      <c r="D1027">
        <v>0</v>
      </c>
    </row>
    <row r="1028" spans="1:4" x14ac:dyDescent="0.5">
      <c r="A1028" t="s">
        <v>1925</v>
      </c>
      <c r="B1028">
        <f t="shared" si="16"/>
        <v>2</v>
      </c>
      <c r="C1028">
        <v>2</v>
      </c>
      <c r="D1028">
        <v>0</v>
      </c>
    </row>
    <row r="1029" spans="1:4" x14ac:dyDescent="0.5">
      <c r="A1029" t="s">
        <v>1926</v>
      </c>
      <c r="B1029">
        <f t="shared" si="16"/>
        <v>2</v>
      </c>
      <c r="C1029">
        <v>2</v>
      </c>
      <c r="D1029">
        <v>0</v>
      </c>
    </row>
    <row r="1030" spans="1:4" x14ac:dyDescent="0.5">
      <c r="A1030" t="s">
        <v>1927</v>
      </c>
      <c r="B1030">
        <f t="shared" si="16"/>
        <v>1</v>
      </c>
      <c r="C1030">
        <v>1</v>
      </c>
      <c r="D1030">
        <v>0</v>
      </c>
    </row>
    <row r="1031" spans="1:4" x14ac:dyDescent="0.5">
      <c r="A1031" t="s">
        <v>1928</v>
      </c>
      <c r="B1031">
        <f t="shared" si="16"/>
        <v>2</v>
      </c>
      <c r="C1031">
        <v>2</v>
      </c>
      <c r="D1031">
        <v>0</v>
      </c>
    </row>
    <row r="1032" spans="1:4" x14ac:dyDescent="0.5">
      <c r="A1032" t="s">
        <v>1929</v>
      </c>
      <c r="B1032">
        <f t="shared" si="16"/>
        <v>1</v>
      </c>
      <c r="C1032">
        <v>1</v>
      </c>
      <c r="D1032">
        <v>0</v>
      </c>
    </row>
    <row r="1033" spans="1:4" x14ac:dyDescent="0.5">
      <c r="A1033" t="s">
        <v>1930</v>
      </c>
      <c r="B1033">
        <f t="shared" si="16"/>
        <v>1</v>
      </c>
      <c r="C1033">
        <v>1</v>
      </c>
      <c r="D1033">
        <v>0</v>
      </c>
    </row>
    <row r="1034" spans="1:4" x14ac:dyDescent="0.5">
      <c r="A1034" t="s">
        <v>1931</v>
      </c>
      <c r="B1034">
        <f t="shared" si="16"/>
        <v>2</v>
      </c>
      <c r="C1034">
        <v>2</v>
      </c>
      <c r="D1034">
        <v>0</v>
      </c>
    </row>
    <row r="1035" spans="1:4" x14ac:dyDescent="0.5">
      <c r="A1035" t="s">
        <v>661</v>
      </c>
      <c r="B1035">
        <f t="shared" si="16"/>
        <v>2.5</v>
      </c>
      <c r="C1035">
        <v>2</v>
      </c>
      <c r="D1035">
        <v>1</v>
      </c>
    </row>
    <row r="1036" spans="1:4" x14ac:dyDescent="0.5">
      <c r="A1036" t="s">
        <v>1932</v>
      </c>
      <c r="B1036">
        <f t="shared" si="16"/>
        <v>1.5</v>
      </c>
      <c r="C1036">
        <v>1</v>
      </c>
      <c r="D1036">
        <v>1</v>
      </c>
    </row>
    <row r="1037" spans="1:4" x14ac:dyDescent="0.5">
      <c r="A1037" t="s">
        <v>1933</v>
      </c>
      <c r="B1037">
        <f t="shared" si="16"/>
        <v>1</v>
      </c>
      <c r="C1037">
        <v>1</v>
      </c>
      <c r="D1037">
        <v>0</v>
      </c>
    </row>
    <row r="1038" spans="1:4" x14ac:dyDescent="0.5">
      <c r="A1038" t="s">
        <v>1934</v>
      </c>
      <c r="B1038">
        <f t="shared" si="16"/>
        <v>1</v>
      </c>
      <c r="C1038">
        <v>1</v>
      </c>
      <c r="D1038">
        <v>0</v>
      </c>
    </row>
    <row r="1039" spans="1:4" x14ac:dyDescent="0.5">
      <c r="A1039" t="s">
        <v>1935</v>
      </c>
      <c r="B1039">
        <f t="shared" si="16"/>
        <v>1.5</v>
      </c>
      <c r="C1039">
        <v>1</v>
      </c>
      <c r="D1039">
        <v>1</v>
      </c>
    </row>
    <row r="1040" spans="1:4" x14ac:dyDescent="0.5">
      <c r="A1040" t="s">
        <v>1936</v>
      </c>
      <c r="B1040">
        <f t="shared" si="16"/>
        <v>1.5</v>
      </c>
      <c r="C1040">
        <v>1</v>
      </c>
      <c r="D1040">
        <v>1</v>
      </c>
    </row>
    <row r="1041" spans="1:4" x14ac:dyDescent="0.5">
      <c r="A1041" t="s">
        <v>1937</v>
      </c>
      <c r="B1041">
        <f t="shared" si="16"/>
        <v>1.5</v>
      </c>
      <c r="C1041">
        <v>1</v>
      </c>
      <c r="D1041">
        <v>1</v>
      </c>
    </row>
    <row r="1042" spans="1:4" x14ac:dyDescent="0.5">
      <c r="A1042" t="s">
        <v>1938</v>
      </c>
      <c r="B1042">
        <f t="shared" si="16"/>
        <v>2.5</v>
      </c>
      <c r="C1042">
        <v>2</v>
      </c>
      <c r="D1042">
        <v>1</v>
      </c>
    </row>
    <row r="1043" spans="1:4" x14ac:dyDescent="0.5">
      <c r="A1043" t="s">
        <v>1939</v>
      </c>
      <c r="B1043">
        <f t="shared" si="16"/>
        <v>1</v>
      </c>
      <c r="C1043">
        <v>1</v>
      </c>
      <c r="D1043">
        <v>0</v>
      </c>
    </row>
    <row r="1044" spans="1:4" x14ac:dyDescent="0.5">
      <c r="A1044" t="s">
        <v>1940</v>
      </c>
      <c r="B1044">
        <f t="shared" si="16"/>
        <v>1</v>
      </c>
      <c r="C1044">
        <v>1</v>
      </c>
      <c r="D1044">
        <v>0</v>
      </c>
    </row>
    <row r="1045" spans="1:4" x14ac:dyDescent="0.5">
      <c r="A1045" t="s">
        <v>1941</v>
      </c>
      <c r="B1045">
        <f t="shared" si="16"/>
        <v>3.5</v>
      </c>
      <c r="C1045">
        <v>3</v>
      </c>
      <c r="D1045">
        <v>1</v>
      </c>
    </row>
    <row r="1046" spans="1:4" x14ac:dyDescent="0.5">
      <c r="A1046" t="s">
        <v>750</v>
      </c>
      <c r="B1046">
        <f t="shared" si="16"/>
        <v>1</v>
      </c>
      <c r="C1046">
        <v>1</v>
      </c>
      <c r="D1046">
        <v>0</v>
      </c>
    </row>
    <row r="1047" spans="1:4" x14ac:dyDescent="0.5">
      <c r="A1047" t="s">
        <v>1942</v>
      </c>
      <c r="B1047">
        <f t="shared" si="16"/>
        <v>1</v>
      </c>
      <c r="C1047">
        <v>1</v>
      </c>
      <c r="D1047">
        <v>0</v>
      </c>
    </row>
    <row r="1048" spans="1:4" x14ac:dyDescent="0.5">
      <c r="A1048" t="s">
        <v>1943</v>
      </c>
      <c r="B1048">
        <f t="shared" si="16"/>
        <v>2</v>
      </c>
      <c r="C1048">
        <v>2</v>
      </c>
      <c r="D1048">
        <v>0</v>
      </c>
    </row>
    <row r="1049" spans="1:4" x14ac:dyDescent="0.5">
      <c r="A1049" t="s">
        <v>1944</v>
      </c>
      <c r="B1049">
        <f t="shared" si="16"/>
        <v>1</v>
      </c>
      <c r="C1049">
        <v>1</v>
      </c>
      <c r="D1049">
        <v>0</v>
      </c>
    </row>
    <row r="1050" spans="1:4" x14ac:dyDescent="0.5">
      <c r="A1050" t="s">
        <v>1065</v>
      </c>
      <c r="B1050">
        <f t="shared" si="16"/>
        <v>1.5</v>
      </c>
      <c r="C1050">
        <v>1</v>
      </c>
      <c r="D1050">
        <v>1</v>
      </c>
    </row>
    <row r="1051" spans="1:4" x14ac:dyDescent="0.5">
      <c r="A1051" t="s">
        <v>1945</v>
      </c>
      <c r="B1051">
        <f t="shared" si="16"/>
        <v>2.5</v>
      </c>
      <c r="C1051">
        <v>2</v>
      </c>
      <c r="D1051">
        <v>1</v>
      </c>
    </row>
    <row r="1052" spans="1:4" x14ac:dyDescent="0.5">
      <c r="A1052" t="s">
        <v>1946</v>
      </c>
      <c r="B1052">
        <f t="shared" si="16"/>
        <v>2.5</v>
      </c>
      <c r="C1052">
        <v>2</v>
      </c>
      <c r="D1052">
        <v>1</v>
      </c>
    </row>
    <row r="1053" spans="1:4" x14ac:dyDescent="0.5">
      <c r="A1053" t="s">
        <v>943</v>
      </c>
      <c r="B1053">
        <f t="shared" si="16"/>
        <v>1</v>
      </c>
      <c r="C1053">
        <v>1</v>
      </c>
      <c r="D1053">
        <v>0</v>
      </c>
    </row>
    <row r="1054" spans="1:4" x14ac:dyDescent="0.5">
      <c r="A1054" t="s">
        <v>1947</v>
      </c>
      <c r="B1054">
        <f t="shared" si="16"/>
        <v>1</v>
      </c>
      <c r="C1054">
        <v>1</v>
      </c>
      <c r="D1054">
        <v>0</v>
      </c>
    </row>
    <row r="1055" spans="1:4" x14ac:dyDescent="0.5">
      <c r="A1055" t="s">
        <v>1948</v>
      </c>
      <c r="B1055">
        <f t="shared" si="16"/>
        <v>2</v>
      </c>
      <c r="C1055">
        <v>2</v>
      </c>
      <c r="D1055">
        <v>0</v>
      </c>
    </row>
    <row r="1056" spans="1:4" x14ac:dyDescent="0.5">
      <c r="A1056" t="s">
        <v>1949</v>
      </c>
      <c r="B1056">
        <f t="shared" si="16"/>
        <v>1</v>
      </c>
      <c r="C1056">
        <v>1</v>
      </c>
      <c r="D1056">
        <v>0</v>
      </c>
    </row>
    <row r="1057" spans="1:4" x14ac:dyDescent="0.5">
      <c r="A1057" t="s">
        <v>1950</v>
      </c>
      <c r="B1057">
        <f t="shared" si="16"/>
        <v>1</v>
      </c>
      <c r="C1057">
        <v>1</v>
      </c>
      <c r="D1057">
        <v>0</v>
      </c>
    </row>
    <row r="1058" spans="1:4" x14ac:dyDescent="0.5">
      <c r="A1058" t="s">
        <v>1951</v>
      </c>
      <c r="B1058">
        <f t="shared" si="16"/>
        <v>2</v>
      </c>
      <c r="C1058">
        <v>2</v>
      </c>
      <c r="D1058">
        <v>0</v>
      </c>
    </row>
    <row r="1059" spans="1:4" x14ac:dyDescent="0.5">
      <c r="A1059" t="s">
        <v>1952</v>
      </c>
      <c r="B1059">
        <f t="shared" si="16"/>
        <v>1</v>
      </c>
      <c r="C1059">
        <v>1</v>
      </c>
      <c r="D1059">
        <v>0</v>
      </c>
    </row>
    <row r="1060" spans="1:4" x14ac:dyDescent="0.5">
      <c r="A1060" t="s">
        <v>1953</v>
      </c>
      <c r="B1060">
        <f t="shared" si="16"/>
        <v>2</v>
      </c>
      <c r="C1060">
        <v>2</v>
      </c>
      <c r="D1060">
        <v>0</v>
      </c>
    </row>
    <row r="1061" spans="1:4" x14ac:dyDescent="0.5">
      <c r="A1061" t="s">
        <v>1954</v>
      </c>
      <c r="B1061">
        <f t="shared" si="16"/>
        <v>2.5</v>
      </c>
      <c r="C1061">
        <v>2</v>
      </c>
      <c r="D1061">
        <v>1</v>
      </c>
    </row>
    <row r="1062" spans="1:4" x14ac:dyDescent="0.5">
      <c r="A1062" t="s">
        <v>1955</v>
      </c>
      <c r="B1062">
        <f t="shared" si="16"/>
        <v>1.5</v>
      </c>
      <c r="C1062">
        <v>1</v>
      </c>
      <c r="D1062">
        <v>1</v>
      </c>
    </row>
    <row r="1063" spans="1:4" x14ac:dyDescent="0.5">
      <c r="A1063" t="s">
        <v>1956</v>
      </c>
      <c r="B1063">
        <f t="shared" si="16"/>
        <v>2.5</v>
      </c>
      <c r="C1063">
        <v>2</v>
      </c>
      <c r="D1063">
        <v>1</v>
      </c>
    </row>
    <row r="1064" spans="1:4" x14ac:dyDescent="0.5">
      <c r="A1064" t="s">
        <v>1957</v>
      </c>
      <c r="B1064">
        <f t="shared" si="16"/>
        <v>1</v>
      </c>
      <c r="C1064">
        <v>1</v>
      </c>
      <c r="D1064">
        <v>0</v>
      </c>
    </row>
    <row r="1065" spans="1:4" x14ac:dyDescent="0.5">
      <c r="A1065" t="s">
        <v>1958</v>
      </c>
      <c r="B1065">
        <f t="shared" si="16"/>
        <v>1</v>
      </c>
      <c r="C1065">
        <v>1</v>
      </c>
      <c r="D1065">
        <v>0</v>
      </c>
    </row>
    <row r="1066" spans="1:4" x14ac:dyDescent="0.5">
      <c r="A1066" t="s">
        <v>1959</v>
      </c>
      <c r="B1066">
        <f t="shared" si="16"/>
        <v>2</v>
      </c>
      <c r="C1066">
        <v>2</v>
      </c>
      <c r="D1066">
        <v>0</v>
      </c>
    </row>
    <row r="1067" spans="1:4" x14ac:dyDescent="0.5">
      <c r="A1067" t="s">
        <v>1960</v>
      </c>
      <c r="B1067" t="e">
        <f t="shared" si="16"/>
        <v>#VALUE!</v>
      </c>
      <c r="C1067" t="s">
        <v>2077</v>
      </c>
      <c r="D1067">
        <v>0</v>
      </c>
    </row>
    <row r="1068" spans="1:4" x14ac:dyDescent="0.5">
      <c r="A1068" t="s">
        <v>1961</v>
      </c>
      <c r="B1068">
        <f t="shared" si="16"/>
        <v>1</v>
      </c>
      <c r="C1068">
        <v>1</v>
      </c>
      <c r="D1068">
        <v>0</v>
      </c>
    </row>
    <row r="1069" spans="1:4" x14ac:dyDescent="0.5">
      <c r="A1069" t="s">
        <v>1962</v>
      </c>
      <c r="B1069">
        <f t="shared" si="16"/>
        <v>1</v>
      </c>
      <c r="C1069">
        <v>1</v>
      </c>
      <c r="D1069">
        <v>0</v>
      </c>
    </row>
    <row r="1070" spans="1:4" x14ac:dyDescent="0.5">
      <c r="A1070" t="s">
        <v>1963</v>
      </c>
      <c r="B1070">
        <f t="shared" si="16"/>
        <v>1</v>
      </c>
      <c r="C1070">
        <v>1</v>
      </c>
      <c r="D1070">
        <v>0</v>
      </c>
    </row>
    <row r="1071" spans="1:4" x14ac:dyDescent="0.5">
      <c r="A1071" t="s">
        <v>1964</v>
      </c>
      <c r="B1071">
        <f t="shared" si="16"/>
        <v>2</v>
      </c>
      <c r="C1071">
        <v>2</v>
      </c>
      <c r="D1071">
        <v>0</v>
      </c>
    </row>
    <row r="1072" spans="1:4" x14ac:dyDescent="0.5">
      <c r="A1072" t="s">
        <v>1965</v>
      </c>
      <c r="B1072">
        <f t="shared" si="16"/>
        <v>2</v>
      </c>
      <c r="C1072">
        <v>2</v>
      </c>
      <c r="D1072">
        <v>0</v>
      </c>
    </row>
    <row r="1073" spans="1:4" x14ac:dyDescent="0.5">
      <c r="A1073" t="s">
        <v>1966</v>
      </c>
      <c r="B1073">
        <f t="shared" si="16"/>
        <v>2.5</v>
      </c>
      <c r="C1073">
        <v>2</v>
      </c>
      <c r="D1073">
        <v>1</v>
      </c>
    </row>
    <row r="1074" spans="1:4" x14ac:dyDescent="0.5">
      <c r="A1074" t="s">
        <v>1967</v>
      </c>
      <c r="B1074">
        <f t="shared" si="16"/>
        <v>1</v>
      </c>
      <c r="C1074">
        <v>1</v>
      </c>
      <c r="D1074">
        <v>0</v>
      </c>
    </row>
    <row r="1075" spans="1:4" x14ac:dyDescent="0.5">
      <c r="A1075" t="s">
        <v>1968</v>
      </c>
      <c r="B1075">
        <f t="shared" si="16"/>
        <v>2.5</v>
      </c>
      <c r="C1075">
        <v>2</v>
      </c>
      <c r="D1075">
        <v>1</v>
      </c>
    </row>
    <row r="1076" spans="1:4" x14ac:dyDescent="0.5">
      <c r="A1076" t="s">
        <v>1969</v>
      </c>
      <c r="B1076">
        <f t="shared" si="16"/>
        <v>1</v>
      </c>
      <c r="C1076">
        <v>1</v>
      </c>
      <c r="D1076">
        <v>0</v>
      </c>
    </row>
    <row r="1077" spans="1:4" x14ac:dyDescent="0.5">
      <c r="A1077" t="s">
        <v>1970</v>
      </c>
      <c r="B1077">
        <f t="shared" si="16"/>
        <v>1</v>
      </c>
      <c r="C1077">
        <v>1</v>
      </c>
      <c r="D1077">
        <v>0</v>
      </c>
    </row>
    <row r="1078" spans="1:4" x14ac:dyDescent="0.5">
      <c r="A1078" t="s">
        <v>1971</v>
      </c>
      <c r="B1078">
        <f t="shared" si="16"/>
        <v>2</v>
      </c>
      <c r="C1078">
        <v>2</v>
      </c>
      <c r="D1078">
        <v>0</v>
      </c>
    </row>
    <row r="1079" spans="1:4" x14ac:dyDescent="0.5">
      <c r="A1079" t="s">
        <v>1972</v>
      </c>
      <c r="B1079">
        <f t="shared" si="16"/>
        <v>2</v>
      </c>
      <c r="C1079">
        <v>2</v>
      </c>
      <c r="D1079">
        <v>0</v>
      </c>
    </row>
    <row r="1080" spans="1:4" x14ac:dyDescent="0.5">
      <c r="A1080" t="s">
        <v>1973</v>
      </c>
      <c r="B1080">
        <f t="shared" si="16"/>
        <v>2.5</v>
      </c>
      <c r="C1080">
        <v>2</v>
      </c>
      <c r="D1080">
        <v>1</v>
      </c>
    </row>
    <row r="1081" spans="1:4" x14ac:dyDescent="0.5">
      <c r="A1081" t="s">
        <v>1974</v>
      </c>
      <c r="B1081">
        <f t="shared" si="16"/>
        <v>1</v>
      </c>
      <c r="C1081">
        <v>1</v>
      </c>
      <c r="D1081">
        <v>0</v>
      </c>
    </row>
    <row r="1082" spans="1:4" x14ac:dyDescent="0.5">
      <c r="A1082" t="s">
        <v>1975</v>
      </c>
      <c r="B1082">
        <f t="shared" si="16"/>
        <v>2</v>
      </c>
      <c r="C1082">
        <v>2</v>
      </c>
      <c r="D1082">
        <v>0</v>
      </c>
    </row>
    <row r="1083" spans="1:4" x14ac:dyDescent="0.5">
      <c r="A1083" t="s">
        <v>1976</v>
      </c>
      <c r="B1083">
        <f t="shared" si="16"/>
        <v>1</v>
      </c>
      <c r="C1083">
        <v>1</v>
      </c>
      <c r="D1083">
        <v>0</v>
      </c>
    </row>
    <row r="1084" spans="1:4" x14ac:dyDescent="0.5">
      <c r="A1084" t="s">
        <v>1977</v>
      </c>
      <c r="B1084">
        <f t="shared" si="16"/>
        <v>1</v>
      </c>
      <c r="C1084">
        <v>1</v>
      </c>
      <c r="D1084">
        <v>0</v>
      </c>
    </row>
    <row r="1085" spans="1:4" x14ac:dyDescent="0.5">
      <c r="A1085" t="s">
        <v>1978</v>
      </c>
      <c r="B1085">
        <f t="shared" si="16"/>
        <v>1</v>
      </c>
      <c r="C1085">
        <v>1</v>
      </c>
      <c r="D1085">
        <v>0</v>
      </c>
    </row>
    <row r="1086" spans="1:4" x14ac:dyDescent="0.5">
      <c r="A1086" t="s">
        <v>1979</v>
      </c>
      <c r="B1086">
        <f t="shared" si="16"/>
        <v>1</v>
      </c>
      <c r="C1086">
        <v>1</v>
      </c>
      <c r="D1086">
        <v>0</v>
      </c>
    </row>
    <row r="1087" spans="1:4" x14ac:dyDescent="0.5">
      <c r="A1087" t="s">
        <v>1980</v>
      </c>
      <c r="B1087">
        <f t="shared" si="16"/>
        <v>1</v>
      </c>
      <c r="C1087">
        <v>1</v>
      </c>
      <c r="D1087">
        <v>0</v>
      </c>
    </row>
    <row r="1088" spans="1:4" x14ac:dyDescent="0.5">
      <c r="A1088" t="s">
        <v>1981</v>
      </c>
      <c r="B1088">
        <f t="shared" si="16"/>
        <v>1</v>
      </c>
      <c r="C1088">
        <v>1</v>
      </c>
      <c r="D1088">
        <v>0</v>
      </c>
    </row>
    <row r="1089" spans="1:4" x14ac:dyDescent="0.5">
      <c r="A1089" t="s">
        <v>1982</v>
      </c>
      <c r="B1089">
        <f t="shared" si="16"/>
        <v>1</v>
      </c>
      <c r="C1089">
        <v>1</v>
      </c>
      <c r="D1089">
        <v>0</v>
      </c>
    </row>
    <row r="1090" spans="1:4" x14ac:dyDescent="0.5">
      <c r="A1090" t="s">
        <v>1983</v>
      </c>
      <c r="B1090">
        <f t="shared" ref="B1090:B1153" si="17">SUM(C1090 + 1/2*D1090)</f>
        <v>1</v>
      </c>
      <c r="C1090">
        <v>1</v>
      </c>
      <c r="D1090">
        <v>0</v>
      </c>
    </row>
    <row r="1091" spans="1:4" x14ac:dyDescent="0.5">
      <c r="A1091" t="s">
        <v>1072</v>
      </c>
      <c r="B1091">
        <f t="shared" si="17"/>
        <v>1</v>
      </c>
      <c r="C1091">
        <v>1</v>
      </c>
      <c r="D1091">
        <v>0</v>
      </c>
    </row>
    <row r="1092" spans="1:4" x14ac:dyDescent="0.5">
      <c r="A1092" t="s">
        <v>1984</v>
      </c>
      <c r="B1092">
        <f t="shared" si="17"/>
        <v>1</v>
      </c>
      <c r="C1092">
        <v>1</v>
      </c>
      <c r="D1092">
        <v>0</v>
      </c>
    </row>
    <row r="1093" spans="1:4" x14ac:dyDescent="0.5">
      <c r="A1093" t="s">
        <v>1985</v>
      </c>
      <c r="B1093" t="e">
        <f t="shared" si="17"/>
        <v>#VALUE!</v>
      </c>
      <c r="C1093" t="s">
        <v>2077</v>
      </c>
      <c r="D1093">
        <v>1</v>
      </c>
    </row>
    <row r="1094" spans="1:4" x14ac:dyDescent="0.5">
      <c r="A1094" t="s">
        <v>1986</v>
      </c>
      <c r="B1094">
        <f t="shared" si="17"/>
        <v>1</v>
      </c>
      <c r="C1094">
        <v>1</v>
      </c>
      <c r="D1094">
        <v>0</v>
      </c>
    </row>
    <row r="1095" spans="1:4" x14ac:dyDescent="0.5">
      <c r="A1095" t="s">
        <v>1987</v>
      </c>
      <c r="B1095">
        <f t="shared" si="17"/>
        <v>1.5</v>
      </c>
      <c r="C1095">
        <v>1</v>
      </c>
      <c r="D1095">
        <v>1</v>
      </c>
    </row>
    <row r="1096" spans="1:4" x14ac:dyDescent="0.5">
      <c r="A1096" t="s">
        <v>1988</v>
      </c>
      <c r="B1096">
        <f t="shared" si="17"/>
        <v>1</v>
      </c>
      <c r="C1096">
        <v>1</v>
      </c>
      <c r="D1096">
        <v>0</v>
      </c>
    </row>
    <row r="1097" spans="1:4" x14ac:dyDescent="0.5">
      <c r="A1097" t="s">
        <v>1989</v>
      </c>
      <c r="B1097">
        <f t="shared" si="17"/>
        <v>1</v>
      </c>
      <c r="C1097">
        <v>1</v>
      </c>
      <c r="D1097">
        <v>0</v>
      </c>
    </row>
    <row r="1098" spans="1:4" x14ac:dyDescent="0.5">
      <c r="A1098" t="s">
        <v>1990</v>
      </c>
      <c r="B1098">
        <f t="shared" si="17"/>
        <v>2.5</v>
      </c>
      <c r="C1098">
        <v>2</v>
      </c>
      <c r="D1098">
        <v>1</v>
      </c>
    </row>
    <row r="1099" spans="1:4" x14ac:dyDescent="0.5">
      <c r="A1099" t="s">
        <v>1991</v>
      </c>
      <c r="B1099">
        <f t="shared" si="17"/>
        <v>2</v>
      </c>
      <c r="C1099">
        <v>2</v>
      </c>
      <c r="D1099">
        <v>0</v>
      </c>
    </row>
    <row r="1100" spans="1:4" x14ac:dyDescent="0.5">
      <c r="A1100" t="s">
        <v>1992</v>
      </c>
      <c r="B1100">
        <f t="shared" si="17"/>
        <v>1</v>
      </c>
      <c r="C1100">
        <v>1</v>
      </c>
      <c r="D1100">
        <v>0</v>
      </c>
    </row>
    <row r="1101" spans="1:4" x14ac:dyDescent="0.5">
      <c r="A1101" t="s">
        <v>1993</v>
      </c>
      <c r="B1101">
        <f t="shared" si="17"/>
        <v>2</v>
      </c>
      <c r="C1101">
        <v>2</v>
      </c>
      <c r="D1101">
        <v>0</v>
      </c>
    </row>
    <row r="1102" spans="1:4" x14ac:dyDescent="0.5">
      <c r="A1102" t="s">
        <v>1994</v>
      </c>
      <c r="B1102">
        <f t="shared" si="17"/>
        <v>1</v>
      </c>
      <c r="C1102">
        <v>1</v>
      </c>
      <c r="D1102">
        <v>0</v>
      </c>
    </row>
    <row r="1103" spans="1:4" x14ac:dyDescent="0.5">
      <c r="A1103" t="s">
        <v>743</v>
      </c>
      <c r="B1103">
        <f t="shared" si="17"/>
        <v>1</v>
      </c>
      <c r="C1103">
        <v>1</v>
      </c>
      <c r="D1103">
        <v>0</v>
      </c>
    </row>
    <row r="1104" spans="1:4" x14ac:dyDescent="0.5">
      <c r="A1104" t="s">
        <v>733</v>
      </c>
      <c r="B1104">
        <f t="shared" si="17"/>
        <v>1</v>
      </c>
      <c r="C1104">
        <v>1</v>
      </c>
      <c r="D1104">
        <v>0</v>
      </c>
    </row>
    <row r="1105" spans="1:4" x14ac:dyDescent="0.5">
      <c r="A1105" t="s">
        <v>1995</v>
      </c>
      <c r="B1105">
        <f t="shared" si="17"/>
        <v>2.5</v>
      </c>
      <c r="C1105">
        <v>2</v>
      </c>
      <c r="D1105">
        <v>1</v>
      </c>
    </row>
    <row r="1106" spans="1:4" x14ac:dyDescent="0.5">
      <c r="A1106" t="s">
        <v>656</v>
      </c>
      <c r="B1106">
        <f t="shared" si="17"/>
        <v>1</v>
      </c>
      <c r="C1106">
        <v>1</v>
      </c>
      <c r="D1106">
        <v>0</v>
      </c>
    </row>
    <row r="1107" spans="1:4" x14ac:dyDescent="0.5">
      <c r="A1107" t="s">
        <v>638</v>
      </c>
      <c r="B1107">
        <f t="shared" si="17"/>
        <v>1.5</v>
      </c>
      <c r="C1107">
        <v>1</v>
      </c>
      <c r="D1107">
        <v>1</v>
      </c>
    </row>
    <row r="1108" spans="1:4" x14ac:dyDescent="0.5">
      <c r="A1108" t="s">
        <v>1996</v>
      </c>
      <c r="B1108">
        <f t="shared" si="17"/>
        <v>2</v>
      </c>
      <c r="C1108">
        <v>2</v>
      </c>
      <c r="D1108">
        <v>0</v>
      </c>
    </row>
    <row r="1109" spans="1:4" x14ac:dyDescent="0.5">
      <c r="A1109" t="s">
        <v>1997</v>
      </c>
      <c r="B1109">
        <f t="shared" si="17"/>
        <v>1</v>
      </c>
      <c r="C1109">
        <v>1</v>
      </c>
      <c r="D1109">
        <v>0</v>
      </c>
    </row>
    <row r="1110" spans="1:4" x14ac:dyDescent="0.5">
      <c r="A1110" t="s">
        <v>1998</v>
      </c>
      <c r="B1110">
        <f t="shared" si="17"/>
        <v>1</v>
      </c>
      <c r="C1110">
        <v>1</v>
      </c>
      <c r="D1110">
        <v>0</v>
      </c>
    </row>
    <row r="1111" spans="1:4" x14ac:dyDescent="0.5">
      <c r="A1111" t="s">
        <v>1999</v>
      </c>
      <c r="B1111">
        <f t="shared" si="17"/>
        <v>1</v>
      </c>
      <c r="C1111">
        <v>1</v>
      </c>
      <c r="D1111">
        <v>0</v>
      </c>
    </row>
    <row r="1112" spans="1:4" x14ac:dyDescent="0.5">
      <c r="A1112" t="s">
        <v>2000</v>
      </c>
      <c r="B1112">
        <f t="shared" si="17"/>
        <v>2</v>
      </c>
      <c r="C1112">
        <v>2</v>
      </c>
      <c r="D1112">
        <v>0</v>
      </c>
    </row>
    <row r="1113" spans="1:4" x14ac:dyDescent="0.5">
      <c r="A1113" t="s">
        <v>2001</v>
      </c>
      <c r="B1113">
        <f t="shared" si="17"/>
        <v>1.5</v>
      </c>
      <c r="C1113">
        <v>1</v>
      </c>
      <c r="D1113">
        <v>1</v>
      </c>
    </row>
    <row r="1114" spans="1:4" x14ac:dyDescent="0.5">
      <c r="A1114" t="s">
        <v>2002</v>
      </c>
      <c r="B1114">
        <f t="shared" si="17"/>
        <v>1</v>
      </c>
      <c r="C1114">
        <v>1</v>
      </c>
      <c r="D1114">
        <v>0</v>
      </c>
    </row>
    <row r="1115" spans="1:4" x14ac:dyDescent="0.5">
      <c r="A1115" t="s">
        <v>2003</v>
      </c>
      <c r="B1115">
        <f t="shared" si="17"/>
        <v>1</v>
      </c>
      <c r="C1115">
        <v>1</v>
      </c>
      <c r="D1115">
        <v>0</v>
      </c>
    </row>
    <row r="1116" spans="1:4" x14ac:dyDescent="0.5">
      <c r="A1116" t="s">
        <v>2004</v>
      </c>
      <c r="B1116">
        <f t="shared" si="17"/>
        <v>1</v>
      </c>
      <c r="C1116">
        <v>1</v>
      </c>
      <c r="D1116">
        <v>0</v>
      </c>
    </row>
    <row r="1117" spans="1:4" x14ac:dyDescent="0.5">
      <c r="A1117" t="s">
        <v>206</v>
      </c>
      <c r="B1117">
        <f t="shared" si="17"/>
        <v>1</v>
      </c>
      <c r="C1117">
        <v>1</v>
      </c>
      <c r="D1117">
        <v>0</v>
      </c>
    </row>
    <row r="1118" spans="1:4" x14ac:dyDescent="0.5">
      <c r="A1118" t="s">
        <v>2005</v>
      </c>
      <c r="B1118">
        <f t="shared" si="17"/>
        <v>1</v>
      </c>
      <c r="C1118">
        <v>1</v>
      </c>
      <c r="D1118">
        <v>0</v>
      </c>
    </row>
    <row r="1119" spans="1:4" x14ac:dyDescent="0.5">
      <c r="A1119" t="s">
        <v>2006</v>
      </c>
      <c r="B1119">
        <f t="shared" si="17"/>
        <v>1</v>
      </c>
      <c r="C1119">
        <v>1</v>
      </c>
      <c r="D1119">
        <v>0</v>
      </c>
    </row>
    <row r="1120" spans="1:4" x14ac:dyDescent="0.5">
      <c r="A1120" t="s">
        <v>2007</v>
      </c>
      <c r="B1120">
        <f t="shared" si="17"/>
        <v>1</v>
      </c>
      <c r="C1120">
        <v>1</v>
      </c>
      <c r="D1120">
        <v>0</v>
      </c>
    </row>
    <row r="1121" spans="1:4" x14ac:dyDescent="0.5">
      <c r="A1121" t="s">
        <v>2008</v>
      </c>
      <c r="B1121">
        <f t="shared" si="17"/>
        <v>1.5</v>
      </c>
      <c r="C1121">
        <v>1</v>
      </c>
      <c r="D1121">
        <v>1</v>
      </c>
    </row>
    <row r="1122" spans="1:4" x14ac:dyDescent="0.5">
      <c r="A1122" t="s">
        <v>1103</v>
      </c>
      <c r="B1122">
        <f t="shared" si="17"/>
        <v>1</v>
      </c>
      <c r="C1122">
        <v>1</v>
      </c>
      <c r="D1122">
        <v>0</v>
      </c>
    </row>
    <row r="1123" spans="1:4" x14ac:dyDescent="0.5">
      <c r="A1123" t="s">
        <v>2009</v>
      </c>
      <c r="B1123">
        <f t="shared" si="17"/>
        <v>2</v>
      </c>
      <c r="C1123">
        <v>2</v>
      </c>
      <c r="D1123">
        <v>0</v>
      </c>
    </row>
    <row r="1124" spans="1:4" x14ac:dyDescent="0.5">
      <c r="A1124" t="s">
        <v>2010</v>
      </c>
      <c r="B1124">
        <f t="shared" si="17"/>
        <v>1</v>
      </c>
      <c r="C1124">
        <v>1</v>
      </c>
      <c r="D1124">
        <v>0</v>
      </c>
    </row>
    <row r="1125" spans="1:4" x14ac:dyDescent="0.5">
      <c r="A1125" t="s">
        <v>2011</v>
      </c>
      <c r="B1125">
        <f t="shared" si="17"/>
        <v>1</v>
      </c>
      <c r="C1125">
        <v>1</v>
      </c>
      <c r="D1125">
        <v>0</v>
      </c>
    </row>
    <row r="1126" spans="1:4" x14ac:dyDescent="0.5">
      <c r="A1126" t="s">
        <v>2012</v>
      </c>
      <c r="B1126">
        <f t="shared" si="17"/>
        <v>1</v>
      </c>
      <c r="C1126">
        <v>1</v>
      </c>
      <c r="D1126">
        <v>0</v>
      </c>
    </row>
    <row r="1127" spans="1:4" x14ac:dyDescent="0.5">
      <c r="A1127" t="s">
        <v>2013</v>
      </c>
      <c r="B1127">
        <f t="shared" si="17"/>
        <v>2.5</v>
      </c>
      <c r="C1127">
        <v>2</v>
      </c>
      <c r="D1127">
        <v>1</v>
      </c>
    </row>
    <row r="1128" spans="1:4" x14ac:dyDescent="0.5">
      <c r="A1128" t="s">
        <v>2014</v>
      </c>
      <c r="B1128">
        <f t="shared" si="17"/>
        <v>2</v>
      </c>
      <c r="C1128">
        <v>2</v>
      </c>
      <c r="D1128">
        <v>0</v>
      </c>
    </row>
    <row r="1129" spans="1:4" x14ac:dyDescent="0.5">
      <c r="A1129" t="s">
        <v>2015</v>
      </c>
      <c r="B1129">
        <f t="shared" si="17"/>
        <v>1</v>
      </c>
      <c r="C1129">
        <v>1</v>
      </c>
      <c r="D1129">
        <v>0</v>
      </c>
    </row>
    <row r="1130" spans="1:4" x14ac:dyDescent="0.5">
      <c r="A1130" t="s">
        <v>130</v>
      </c>
      <c r="B1130">
        <f t="shared" si="17"/>
        <v>1</v>
      </c>
      <c r="C1130">
        <v>1</v>
      </c>
      <c r="D1130">
        <v>0</v>
      </c>
    </row>
    <row r="1131" spans="1:4" x14ac:dyDescent="0.5">
      <c r="A1131" t="s">
        <v>2016</v>
      </c>
      <c r="B1131">
        <f t="shared" si="17"/>
        <v>2</v>
      </c>
      <c r="C1131">
        <v>2</v>
      </c>
      <c r="D1131">
        <v>0</v>
      </c>
    </row>
    <row r="1132" spans="1:4" x14ac:dyDescent="0.5">
      <c r="A1132" t="s">
        <v>2017</v>
      </c>
      <c r="B1132">
        <f t="shared" si="17"/>
        <v>1.5</v>
      </c>
      <c r="C1132">
        <v>1</v>
      </c>
      <c r="D1132">
        <v>1</v>
      </c>
    </row>
    <row r="1133" spans="1:4" x14ac:dyDescent="0.5">
      <c r="A1133" t="s">
        <v>2018</v>
      </c>
      <c r="B1133">
        <f t="shared" si="17"/>
        <v>1</v>
      </c>
      <c r="C1133">
        <v>1</v>
      </c>
      <c r="D1133">
        <v>0</v>
      </c>
    </row>
    <row r="1134" spans="1:4" x14ac:dyDescent="0.5">
      <c r="A1134" t="s">
        <v>2019</v>
      </c>
      <c r="B1134">
        <f t="shared" si="17"/>
        <v>1</v>
      </c>
      <c r="C1134">
        <v>1</v>
      </c>
      <c r="D1134">
        <v>0</v>
      </c>
    </row>
    <row r="1135" spans="1:4" x14ac:dyDescent="0.5">
      <c r="A1135" t="s">
        <v>2020</v>
      </c>
      <c r="B1135">
        <f t="shared" si="17"/>
        <v>1</v>
      </c>
      <c r="C1135">
        <v>1</v>
      </c>
      <c r="D1135">
        <v>0</v>
      </c>
    </row>
    <row r="1136" spans="1:4" x14ac:dyDescent="0.5">
      <c r="A1136" t="s">
        <v>2021</v>
      </c>
      <c r="B1136">
        <f t="shared" si="17"/>
        <v>1.5</v>
      </c>
      <c r="C1136">
        <v>1</v>
      </c>
      <c r="D1136">
        <v>1</v>
      </c>
    </row>
    <row r="1137" spans="1:4" x14ac:dyDescent="0.5">
      <c r="A1137" t="s">
        <v>2022</v>
      </c>
      <c r="B1137">
        <f t="shared" si="17"/>
        <v>2.5</v>
      </c>
      <c r="C1137">
        <v>2</v>
      </c>
      <c r="D1137">
        <v>1</v>
      </c>
    </row>
    <row r="1138" spans="1:4" x14ac:dyDescent="0.5">
      <c r="A1138" t="s">
        <v>2023</v>
      </c>
      <c r="B1138">
        <f t="shared" si="17"/>
        <v>1</v>
      </c>
      <c r="C1138">
        <v>1</v>
      </c>
      <c r="D1138">
        <v>0</v>
      </c>
    </row>
    <row r="1139" spans="1:4" x14ac:dyDescent="0.5">
      <c r="A1139" t="s">
        <v>2024</v>
      </c>
      <c r="B1139">
        <f t="shared" si="17"/>
        <v>3.5</v>
      </c>
      <c r="C1139">
        <v>3</v>
      </c>
      <c r="D1139">
        <v>1</v>
      </c>
    </row>
    <row r="1140" spans="1:4" x14ac:dyDescent="0.5">
      <c r="A1140" t="s">
        <v>241</v>
      </c>
      <c r="B1140">
        <f t="shared" si="17"/>
        <v>2</v>
      </c>
      <c r="C1140">
        <v>2</v>
      </c>
      <c r="D1140">
        <v>0</v>
      </c>
    </row>
    <row r="1141" spans="1:4" x14ac:dyDescent="0.5">
      <c r="A1141" t="s">
        <v>2025</v>
      </c>
      <c r="B1141">
        <f t="shared" si="17"/>
        <v>1</v>
      </c>
      <c r="C1141">
        <v>1</v>
      </c>
      <c r="D1141">
        <v>0</v>
      </c>
    </row>
    <row r="1142" spans="1:4" x14ac:dyDescent="0.5">
      <c r="A1142" t="s">
        <v>2026</v>
      </c>
      <c r="B1142">
        <f t="shared" si="17"/>
        <v>2</v>
      </c>
      <c r="C1142">
        <v>2</v>
      </c>
      <c r="D1142">
        <v>0</v>
      </c>
    </row>
    <row r="1143" spans="1:4" x14ac:dyDescent="0.5">
      <c r="A1143" t="s">
        <v>2027</v>
      </c>
      <c r="B1143">
        <f t="shared" si="17"/>
        <v>1</v>
      </c>
      <c r="C1143">
        <v>1</v>
      </c>
      <c r="D1143">
        <v>0</v>
      </c>
    </row>
    <row r="1144" spans="1:4" x14ac:dyDescent="0.5">
      <c r="A1144" t="s">
        <v>1062</v>
      </c>
      <c r="B1144">
        <f t="shared" si="17"/>
        <v>1</v>
      </c>
      <c r="C1144">
        <v>1</v>
      </c>
      <c r="D1144">
        <v>0</v>
      </c>
    </row>
    <row r="1145" spans="1:4" x14ac:dyDescent="0.5">
      <c r="A1145" t="s">
        <v>2028</v>
      </c>
      <c r="B1145">
        <f t="shared" si="17"/>
        <v>1</v>
      </c>
      <c r="C1145">
        <v>1</v>
      </c>
      <c r="D1145">
        <v>0</v>
      </c>
    </row>
    <row r="1146" spans="1:4" x14ac:dyDescent="0.5">
      <c r="A1146" t="s">
        <v>2029</v>
      </c>
      <c r="B1146">
        <f t="shared" si="17"/>
        <v>1</v>
      </c>
      <c r="C1146">
        <v>1</v>
      </c>
      <c r="D1146">
        <v>0</v>
      </c>
    </row>
    <row r="1147" spans="1:4" x14ac:dyDescent="0.5">
      <c r="A1147" t="s">
        <v>2030</v>
      </c>
      <c r="B1147">
        <f t="shared" si="17"/>
        <v>1</v>
      </c>
      <c r="C1147">
        <v>1</v>
      </c>
      <c r="D1147">
        <v>0</v>
      </c>
    </row>
    <row r="1148" spans="1:4" x14ac:dyDescent="0.5">
      <c r="A1148" t="s">
        <v>2031</v>
      </c>
      <c r="B1148">
        <f t="shared" si="17"/>
        <v>2</v>
      </c>
      <c r="C1148">
        <v>2</v>
      </c>
      <c r="D1148">
        <v>0</v>
      </c>
    </row>
    <row r="1149" spans="1:4" x14ac:dyDescent="0.5">
      <c r="A1149" t="s">
        <v>2032</v>
      </c>
      <c r="B1149">
        <f t="shared" si="17"/>
        <v>1</v>
      </c>
      <c r="C1149">
        <v>1</v>
      </c>
      <c r="D1149">
        <v>0</v>
      </c>
    </row>
    <row r="1150" spans="1:4" x14ac:dyDescent="0.5">
      <c r="A1150" t="s">
        <v>2033</v>
      </c>
      <c r="B1150">
        <f t="shared" si="17"/>
        <v>1.5</v>
      </c>
      <c r="C1150">
        <v>1</v>
      </c>
      <c r="D1150">
        <v>1</v>
      </c>
    </row>
    <row r="1151" spans="1:4" x14ac:dyDescent="0.5">
      <c r="A1151" t="s">
        <v>2034</v>
      </c>
      <c r="B1151">
        <f t="shared" si="17"/>
        <v>1</v>
      </c>
      <c r="C1151">
        <v>1</v>
      </c>
      <c r="D1151">
        <v>0</v>
      </c>
    </row>
    <row r="1152" spans="1:4" x14ac:dyDescent="0.5">
      <c r="A1152" t="s">
        <v>2035</v>
      </c>
      <c r="B1152">
        <f t="shared" si="17"/>
        <v>1</v>
      </c>
      <c r="C1152">
        <v>1</v>
      </c>
      <c r="D1152">
        <v>0</v>
      </c>
    </row>
    <row r="1153" spans="1:4" x14ac:dyDescent="0.5">
      <c r="A1153" t="s">
        <v>2036</v>
      </c>
      <c r="B1153">
        <f t="shared" si="17"/>
        <v>1</v>
      </c>
      <c r="C1153">
        <v>1</v>
      </c>
      <c r="D1153">
        <v>0</v>
      </c>
    </row>
    <row r="1154" spans="1:4" x14ac:dyDescent="0.5">
      <c r="A1154" t="s">
        <v>2037</v>
      </c>
      <c r="B1154">
        <f t="shared" ref="B1154:B1194" si="18">SUM(C1154 + 1/2*D1154)</f>
        <v>1</v>
      </c>
      <c r="C1154">
        <v>1</v>
      </c>
      <c r="D1154">
        <v>0</v>
      </c>
    </row>
    <row r="1155" spans="1:4" x14ac:dyDescent="0.5">
      <c r="A1155" t="s">
        <v>2038</v>
      </c>
      <c r="B1155">
        <f t="shared" si="18"/>
        <v>1</v>
      </c>
      <c r="C1155">
        <v>1</v>
      </c>
      <c r="D1155">
        <v>0</v>
      </c>
    </row>
    <row r="1156" spans="1:4" x14ac:dyDescent="0.5">
      <c r="A1156" t="s">
        <v>1040</v>
      </c>
      <c r="B1156">
        <f t="shared" si="18"/>
        <v>1</v>
      </c>
      <c r="C1156">
        <v>1</v>
      </c>
      <c r="D1156">
        <v>0</v>
      </c>
    </row>
    <row r="1157" spans="1:4" x14ac:dyDescent="0.5">
      <c r="A1157" t="s">
        <v>2039</v>
      </c>
      <c r="B1157">
        <f t="shared" si="18"/>
        <v>1.5</v>
      </c>
      <c r="C1157">
        <v>1</v>
      </c>
      <c r="D1157">
        <v>1</v>
      </c>
    </row>
    <row r="1158" spans="1:4" x14ac:dyDescent="0.5">
      <c r="A1158" t="s">
        <v>2040</v>
      </c>
      <c r="B1158">
        <f t="shared" si="18"/>
        <v>2</v>
      </c>
      <c r="C1158">
        <v>2</v>
      </c>
      <c r="D1158">
        <v>0</v>
      </c>
    </row>
    <row r="1159" spans="1:4" x14ac:dyDescent="0.5">
      <c r="A1159" t="s">
        <v>2041</v>
      </c>
      <c r="B1159">
        <f t="shared" si="18"/>
        <v>1</v>
      </c>
      <c r="C1159">
        <v>1</v>
      </c>
      <c r="D1159">
        <v>0</v>
      </c>
    </row>
    <row r="1160" spans="1:4" x14ac:dyDescent="0.5">
      <c r="A1160" t="s">
        <v>999</v>
      </c>
      <c r="B1160">
        <f t="shared" si="18"/>
        <v>1</v>
      </c>
      <c r="C1160">
        <v>1</v>
      </c>
      <c r="D1160">
        <v>0</v>
      </c>
    </row>
    <row r="1161" spans="1:4" x14ac:dyDescent="0.5">
      <c r="A1161" t="s">
        <v>2042</v>
      </c>
      <c r="B1161">
        <f t="shared" si="18"/>
        <v>2.5</v>
      </c>
      <c r="C1161">
        <v>2</v>
      </c>
      <c r="D1161">
        <v>1</v>
      </c>
    </row>
    <row r="1162" spans="1:4" x14ac:dyDescent="0.5">
      <c r="A1162" t="s">
        <v>2043</v>
      </c>
      <c r="B1162">
        <f t="shared" si="18"/>
        <v>1</v>
      </c>
      <c r="C1162">
        <v>1</v>
      </c>
      <c r="D1162">
        <v>0</v>
      </c>
    </row>
    <row r="1163" spans="1:4" x14ac:dyDescent="0.5">
      <c r="A1163" t="s">
        <v>2044</v>
      </c>
      <c r="B1163">
        <f t="shared" si="18"/>
        <v>1.5</v>
      </c>
      <c r="C1163">
        <v>1</v>
      </c>
      <c r="D1163">
        <v>1</v>
      </c>
    </row>
    <row r="1164" spans="1:4" x14ac:dyDescent="0.5">
      <c r="A1164" t="s">
        <v>2045</v>
      </c>
      <c r="B1164">
        <f t="shared" si="18"/>
        <v>1</v>
      </c>
      <c r="C1164">
        <v>1</v>
      </c>
      <c r="D1164">
        <v>0</v>
      </c>
    </row>
    <row r="1165" spans="1:4" x14ac:dyDescent="0.5">
      <c r="A1165" t="s">
        <v>2046</v>
      </c>
      <c r="B1165">
        <f t="shared" si="18"/>
        <v>1</v>
      </c>
      <c r="C1165">
        <v>1</v>
      </c>
      <c r="D1165">
        <v>0</v>
      </c>
    </row>
    <row r="1166" spans="1:4" x14ac:dyDescent="0.5">
      <c r="A1166" t="s">
        <v>2047</v>
      </c>
      <c r="B1166">
        <f t="shared" si="18"/>
        <v>1</v>
      </c>
      <c r="C1166">
        <v>1</v>
      </c>
      <c r="D1166">
        <v>0</v>
      </c>
    </row>
    <row r="1167" spans="1:4" x14ac:dyDescent="0.5">
      <c r="A1167" t="s">
        <v>2048</v>
      </c>
      <c r="B1167">
        <f t="shared" si="18"/>
        <v>1</v>
      </c>
      <c r="C1167">
        <v>1</v>
      </c>
      <c r="D1167">
        <v>0</v>
      </c>
    </row>
    <row r="1168" spans="1:4" x14ac:dyDescent="0.5">
      <c r="A1168" t="s">
        <v>2049</v>
      </c>
      <c r="B1168">
        <f t="shared" si="18"/>
        <v>1</v>
      </c>
      <c r="C1168">
        <v>1</v>
      </c>
      <c r="D1168">
        <v>0</v>
      </c>
    </row>
    <row r="1169" spans="1:4" x14ac:dyDescent="0.5">
      <c r="A1169" t="s">
        <v>2050</v>
      </c>
      <c r="B1169">
        <f t="shared" si="18"/>
        <v>1</v>
      </c>
      <c r="C1169">
        <v>1</v>
      </c>
      <c r="D1169">
        <v>0</v>
      </c>
    </row>
    <row r="1170" spans="1:4" x14ac:dyDescent="0.5">
      <c r="A1170" t="s">
        <v>2051</v>
      </c>
      <c r="B1170">
        <f t="shared" si="18"/>
        <v>1</v>
      </c>
      <c r="C1170">
        <v>1</v>
      </c>
      <c r="D1170">
        <v>0</v>
      </c>
    </row>
    <row r="1171" spans="1:4" x14ac:dyDescent="0.5">
      <c r="A1171" t="s">
        <v>2052</v>
      </c>
      <c r="B1171">
        <f t="shared" si="18"/>
        <v>1</v>
      </c>
      <c r="C1171">
        <v>1</v>
      </c>
      <c r="D1171">
        <v>0</v>
      </c>
    </row>
    <row r="1172" spans="1:4" x14ac:dyDescent="0.5">
      <c r="A1172" t="s">
        <v>2053</v>
      </c>
      <c r="B1172">
        <f t="shared" si="18"/>
        <v>1</v>
      </c>
      <c r="C1172">
        <v>1</v>
      </c>
      <c r="D1172">
        <v>0</v>
      </c>
    </row>
    <row r="1173" spans="1:4" x14ac:dyDescent="0.5">
      <c r="A1173" t="s">
        <v>2054</v>
      </c>
      <c r="B1173">
        <f t="shared" si="18"/>
        <v>2</v>
      </c>
      <c r="C1173">
        <v>2</v>
      </c>
      <c r="D1173">
        <v>0</v>
      </c>
    </row>
    <row r="1174" spans="1:4" x14ac:dyDescent="0.5">
      <c r="A1174" t="s">
        <v>2055</v>
      </c>
      <c r="B1174">
        <f t="shared" si="18"/>
        <v>1</v>
      </c>
      <c r="C1174">
        <v>1</v>
      </c>
      <c r="D1174">
        <v>0</v>
      </c>
    </row>
    <row r="1175" spans="1:4" x14ac:dyDescent="0.5">
      <c r="A1175" t="s">
        <v>2056</v>
      </c>
      <c r="B1175">
        <f t="shared" si="18"/>
        <v>1</v>
      </c>
      <c r="C1175">
        <v>1</v>
      </c>
      <c r="D1175">
        <v>0</v>
      </c>
    </row>
    <row r="1176" spans="1:4" x14ac:dyDescent="0.5">
      <c r="A1176" t="s">
        <v>2057</v>
      </c>
      <c r="B1176">
        <f t="shared" si="18"/>
        <v>2</v>
      </c>
      <c r="C1176">
        <v>2</v>
      </c>
      <c r="D1176">
        <v>0</v>
      </c>
    </row>
    <row r="1177" spans="1:4" x14ac:dyDescent="0.5">
      <c r="A1177" t="s">
        <v>2058</v>
      </c>
      <c r="B1177">
        <f t="shared" si="18"/>
        <v>1</v>
      </c>
      <c r="C1177">
        <v>1</v>
      </c>
      <c r="D1177">
        <v>0</v>
      </c>
    </row>
    <row r="1178" spans="1:4" x14ac:dyDescent="0.5">
      <c r="A1178" t="s">
        <v>2059</v>
      </c>
      <c r="B1178">
        <f t="shared" si="18"/>
        <v>1</v>
      </c>
      <c r="C1178">
        <v>1</v>
      </c>
      <c r="D1178">
        <v>0</v>
      </c>
    </row>
    <row r="1179" spans="1:4" x14ac:dyDescent="0.5">
      <c r="A1179" t="s">
        <v>2060</v>
      </c>
      <c r="B1179">
        <f t="shared" si="18"/>
        <v>2.5</v>
      </c>
      <c r="C1179">
        <v>2</v>
      </c>
      <c r="D1179">
        <v>1</v>
      </c>
    </row>
    <row r="1180" spans="1:4" x14ac:dyDescent="0.5">
      <c r="A1180" t="s">
        <v>37</v>
      </c>
      <c r="B1180">
        <f t="shared" si="18"/>
        <v>2.5</v>
      </c>
      <c r="C1180">
        <v>2</v>
      </c>
      <c r="D1180">
        <v>1</v>
      </c>
    </row>
    <row r="1181" spans="1:4" x14ac:dyDescent="0.5">
      <c r="A1181" t="s">
        <v>807</v>
      </c>
      <c r="B1181">
        <f t="shared" si="18"/>
        <v>1</v>
      </c>
      <c r="C1181">
        <v>1</v>
      </c>
      <c r="D1181">
        <v>0</v>
      </c>
    </row>
    <row r="1182" spans="1:4" x14ac:dyDescent="0.5">
      <c r="A1182" t="s">
        <v>2061</v>
      </c>
      <c r="B1182">
        <f t="shared" si="18"/>
        <v>1</v>
      </c>
      <c r="C1182">
        <v>1</v>
      </c>
      <c r="D1182">
        <v>0</v>
      </c>
    </row>
    <row r="1183" spans="1:4" x14ac:dyDescent="0.5">
      <c r="A1183" t="s">
        <v>2062</v>
      </c>
      <c r="B1183">
        <f t="shared" si="18"/>
        <v>1</v>
      </c>
      <c r="C1183">
        <v>1</v>
      </c>
      <c r="D1183">
        <v>0</v>
      </c>
    </row>
    <row r="1184" spans="1:4" x14ac:dyDescent="0.5">
      <c r="A1184" t="s">
        <v>798</v>
      </c>
      <c r="B1184">
        <f t="shared" si="18"/>
        <v>1</v>
      </c>
      <c r="C1184">
        <v>1</v>
      </c>
      <c r="D1184">
        <v>0</v>
      </c>
    </row>
    <row r="1185" spans="1:4" x14ac:dyDescent="0.5">
      <c r="A1185" t="s">
        <v>2063</v>
      </c>
      <c r="B1185">
        <f t="shared" si="18"/>
        <v>1</v>
      </c>
      <c r="C1185">
        <v>1</v>
      </c>
      <c r="D1185">
        <v>0</v>
      </c>
    </row>
    <row r="1186" spans="1:4" x14ac:dyDescent="0.5">
      <c r="A1186" t="s">
        <v>2064</v>
      </c>
      <c r="B1186">
        <f t="shared" si="18"/>
        <v>1</v>
      </c>
      <c r="C1186">
        <v>1</v>
      </c>
      <c r="D1186">
        <v>0</v>
      </c>
    </row>
    <row r="1187" spans="1:4" x14ac:dyDescent="0.5">
      <c r="A1187" t="s">
        <v>2065</v>
      </c>
      <c r="B1187">
        <f t="shared" si="18"/>
        <v>1</v>
      </c>
      <c r="C1187">
        <v>1</v>
      </c>
      <c r="D1187">
        <v>0</v>
      </c>
    </row>
    <row r="1188" spans="1:4" x14ac:dyDescent="0.5">
      <c r="A1188" t="s">
        <v>2066</v>
      </c>
      <c r="B1188">
        <f t="shared" si="18"/>
        <v>2</v>
      </c>
      <c r="C1188">
        <v>2</v>
      </c>
      <c r="D1188">
        <v>0</v>
      </c>
    </row>
    <row r="1189" spans="1:4" x14ac:dyDescent="0.5">
      <c r="A1189" t="s">
        <v>2067</v>
      </c>
      <c r="B1189">
        <f t="shared" si="18"/>
        <v>1</v>
      </c>
      <c r="C1189">
        <v>1</v>
      </c>
      <c r="D1189">
        <v>0</v>
      </c>
    </row>
    <row r="1190" spans="1:4" x14ac:dyDescent="0.5">
      <c r="A1190" t="s">
        <v>2068</v>
      </c>
      <c r="B1190">
        <f t="shared" si="18"/>
        <v>1.5</v>
      </c>
      <c r="C1190">
        <v>1</v>
      </c>
      <c r="D1190">
        <v>1</v>
      </c>
    </row>
    <row r="1191" spans="1:4" x14ac:dyDescent="0.5">
      <c r="A1191" t="s">
        <v>2069</v>
      </c>
      <c r="B1191">
        <f t="shared" si="18"/>
        <v>1</v>
      </c>
      <c r="C1191">
        <v>1</v>
      </c>
      <c r="D1191">
        <v>0</v>
      </c>
    </row>
    <row r="1192" spans="1:4" x14ac:dyDescent="0.5">
      <c r="A1192" t="s">
        <v>2070</v>
      </c>
      <c r="B1192">
        <f t="shared" si="18"/>
        <v>1</v>
      </c>
      <c r="C1192">
        <v>1</v>
      </c>
      <c r="D1192">
        <v>0</v>
      </c>
    </row>
    <row r="1193" spans="1:4" x14ac:dyDescent="0.5">
      <c r="A1193" t="s">
        <v>2071</v>
      </c>
      <c r="B1193">
        <f t="shared" si="18"/>
        <v>1</v>
      </c>
      <c r="C1193">
        <v>1</v>
      </c>
      <c r="D1193">
        <v>0</v>
      </c>
    </row>
    <row r="1194" spans="1:4" x14ac:dyDescent="0.5">
      <c r="A1194" t="s">
        <v>2072</v>
      </c>
      <c r="B1194">
        <f t="shared" si="18"/>
        <v>2</v>
      </c>
      <c r="C1194">
        <v>2</v>
      </c>
      <c r="D119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783A-546F-408E-AC1E-E25239D10359}">
  <dimension ref="A1:C1195"/>
  <sheetViews>
    <sheetView workbookViewId="0">
      <selection activeCell="F10" sqref="F10"/>
    </sheetView>
  </sheetViews>
  <sheetFormatPr defaultRowHeight="15.75" x14ac:dyDescent="0.5"/>
  <sheetData>
    <row r="1" spans="1:3" x14ac:dyDescent="0.5">
      <c r="A1" t="s">
        <v>1111</v>
      </c>
      <c r="B1" t="s">
        <v>1112</v>
      </c>
      <c r="C1" t="s">
        <v>1113</v>
      </c>
    </row>
    <row r="2" spans="1:3" x14ac:dyDescent="0.5">
      <c r="A2" t="s">
        <v>524</v>
      </c>
      <c r="B2">
        <v>3</v>
      </c>
      <c r="C2" t="s">
        <v>1114</v>
      </c>
    </row>
    <row r="3" spans="1:3" x14ac:dyDescent="0.5">
      <c r="A3" t="s">
        <v>1115</v>
      </c>
      <c r="B3">
        <v>6</v>
      </c>
      <c r="C3" t="s">
        <v>1116</v>
      </c>
    </row>
    <row r="4" spans="1:3" x14ac:dyDescent="0.5">
      <c r="A4" t="s">
        <v>996</v>
      </c>
      <c r="B4">
        <v>3</v>
      </c>
      <c r="C4" t="s">
        <v>1117</v>
      </c>
    </row>
    <row r="5" spans="1:3" x14ac:dyDescent="0.5">
      <c r="A5" t="s">
        <v>1118</v>
      </c>
      <c r="B5" t="s">
        <v>1119</v>
      </c>
      <c r="C5" t="s">
        <v>1114</v>
      </c>
    </row>
    <row r="6" spans="1:3" x14ac:dyDescent="0.5">
      <c r="A6" t="s">
        <v>520</v>
      </c>
      <c r="B6">
        <v>4</v>
      </c>
      <c r="C6" t="s">
        <v>1114</v>
      </c>
    </row>
    <row r="7" spans="1:3" x14ac:dyDescent="0.5">
      <c r="A7" t="s">
        <v>146</v>
      </c>
      <c r="B7">
        <v>3</v>
      </c>
      <c r="C7" t="s">
        <v>1120</v>
      </c>
    </row>
    <row r="8" spans="1:3" x14ac:dyDescent="0.5">
      <c r="A8" t="s">
        <v>923</v>
      </c>
      <c r="B8">
        <v>3</v>
      </c>
      <c r="C8" t="s">
        <v>1121</v>
      </c>
    </row>
    <row r="9" spans="1:3" x14ac:dyDescent="0.5">
      <c r="A9" t="s">
        <v>590</v>
      </c>
      <c r="B9">
        <v>1</v>
      </c>
      <c r="C9" t="s">
        <v>1122</v>
      </c>
    </row>
    <row r="10" spans="1:3" x14ac:dyDescent="0.5">
      <c r="A10" t="s">
        <v>1123</v>
      </c>
      <c r="B10">
        <v>1</v>
      </c>
      <c r="C10" t="s">
        <v>1121</v>
      </c>
    </row>
    <row r="11" spans="1:3" x14ac:dyDescent="0.5">
      <c r="A11" t="s">
        <v>578</v>
      </c>
      <c r="B11">
        <v>1</v>
      </c>
      <c r="C11" t="s">
        <v>1114</v>
      </c>
    </row>
    <row r="12" spans="1:3" x14ac:dyDescent="0.5">
      <c r="A12" t="s">
        <v>1124</v>
      </c>
      <c r="B12">
        <v>5</v>
      </c>
      <c r="C12" t="s">
        <v>1114</v>
      </c>
    </row>
    <row r="13" spans="1:3" x14ac:dyDescent="0.5">
      <c r="A13" t="s">
        <v>1057</v>
      </c>
      <c r="B13">
        <v>1</v>
      </c>
      <c r="C13" t="s">
        <v>1125</v>
      </c>
    </row>
    <row r="14" spans="1:3" x14ac:dyDescent="0.5">
      <c r="A14" t="s">
        <v>622</v>
      </c>
      <c r="B14">
        <v>3</v>
      </c>
      <c r="C14" t="s">
        <v>1126</v>
      </c>
    </row>
    <row r="15" spans="1:3" x14ac:dyDescent="0.5">
      <c r="A15" t="s">
        <v>815</v>
      </c>
      <c r="B15">
        <v>2</v>
      </c>
      <c r="C15" t="s">
        <v>1126</v>
      </c>
    </row>
    <row r="16" spans="1:3" x14ac:dyDescent="0.5">
      <c r="A16" t="s">
        <v>456</v>
      </c>
      <c r="B16">
        <v>3</v>
      </c>
      <c r="C16" t="s">
        <v>1127</v>
      </c>
    </row>
    <row r="17" spans="1:3" x14ac:dyDescent="0.5">
      <c r="A17" t="s">
        <v>658</v>
      </c>
      <c r="B17">
        <v>2</v>
      </c>
      <c r="C17" t="s">
        <v>1126</v>
      </c>
    </row>
    <row r="18" spans="1:3" x14ac:dyDescent="0.5">
      <c r="A18" t="s">
        <v>126</v>
      </c>
      <c r="B18">
        <v>2</v>
      </c>
      <c r="C18" t="s">
        <v>1128</v>
      </c>
    </row>
    <row r="19" spans="1:3" x14ac:dyDescent="0.5">
      <c r="A19" t="s">
        <v>1129</v>
      </c>
      <c r="B19">
        <v>2</v>
      </c>
      <c r="C19" t="s">
        <v>1128</v>
      </c>
    </row>
    <row r="20" spans="1:3" x14ac:dyDescent="0.5">
      <c r="A20" t="s">
        <v>1130</v>
      </c>
      <c r="B20">
        <v>2</v>
      </c>
      <c r="C20" t="s">
        <v>1126</v>
      </c>
    </row>
    <row r="21" spans="1:3" x14ac:dyDescent="0.5">
      <c r="A21" t="s">
        <v>973</v>
      </c>
      <c r="B21">
        <v>3</v>
      </c>
      <c r="C21" t="s">
        <v>1131</v>
      </c>
    </row>
    <row r="22" spans="1:3" x14ac:dyDescent="0.5">
      <c r="A22" t="s">
        <v>1132</v>
      </c>
      <c r="B22">
        <v>3</v>
      </c>
      <c r="C22" t="s">
        <v>1131</v>
      </c>
    </row>
    <row r="23" spans="1:3" x14ac:dyDescent="0.5">
      <c r="A23" t="s">
        <v>1133</v>
      </c>
      <c r="B23">
        <v>4</v>
      </c>
      <c r="C23" t="s">
        <v>1121</v>
      </c>
    </row>
    <row r="24" spans="1:3" x14ac:dyDescent="0.5">
      <c r="A24" t="s">
        <v>511</v>
      </c>
      <c r="B24">
        <v>1</v>
      </c>
      <c r="C24" t="s">
        <v>1134</v>
      </c>
    </row>
    <row r="25" spans="1:3" x14ac:dyDescent="0.5">
      <c r="A25" t="s">
        <v>1135</v>
      </c>
      <c r="B25">
        <v>5</v>
      </c>
      <c r="C25" t="s">
        <v>1136</v>
      </c>
    </row>
    <row r="26" spans="1:3" x14ac:dyDescent="0.5">
      <c r="A26" t="s">
        <v>933</v>
      </c>
      <c r="B26" t="s">
        <v>1119</v>
      </c>
      <c r="C26" t="s">
        <v>1121</v>
      </c>
    </row>
    <row r="27" spans="1:3" x14ac:dyDescent="0.5">
      <c r="A27" t="s">
        <v>961</v>
      </c>
      <c r="B27">
        <v>1</v>
      </c>
      <c r="C27" t="s">
        <v>1121</v>
      </c>
    </row>
    <row r="28" spans="1:3" x14ac:dyDescent="0.5">
      <c r="A28" t="s">
        <v>963</v>
      </c>
      <c r="B28">
        <v>2</v>
      </c>
      <c r="C28" t="s">
        <v>1121</v>
      </c>
    </row>
    <row r="29" spans="1:3" x14ac:dyDescent="0.5">
      <c r="A29" t="s">
        <v>1137</v>
      </c>
      <c r="B29">
        <v>4</v>
      </c>
      <c r="C29" t="s">
        <v>1127</v>
      </c>
    </row>
    <row r="30" spans="1:3" x14ac:dyDescent="0.5">
      <c r="A30" t="s">
        <v>574</v>
      </c>
      <c r="B30">
        <v>1</v>
      </c>
      <c r="C30" t="s">
        <v>1114</v>
      </c>
    </row>
    <row r="31" spans="1:3" x14ac:dyDescent="0.5">
      <c r="A31" t="s">
        <v>865</v>
      </c>
      <c r="B31">
        <v>4</v>
      </c>
      <c r="C31" t="s">
        <v>1121</v>
      </c>
    </row>
    <row r="32" spans="1:3" x14ac:dyDescent="0.5">
      <c r="A32" t="s">
        <v>429</v>
      </c>
      <c r="B32">
        <v>4</v>
      </c>
      <c r="C32" t="s">
        <v>1127</v>
      </c>
    </row>
    <row r="33" spans="1:3" x14ac:dyDescent="0.5">
      <c r="A33" t="s">
        <v>1087</v>
      </c>
      <c r="B33">
        <v>2</v>
      </c>
      <c r="C33" t="s">
        <v>1114</v>
      </c>
    </row>
    <row r="34" spans="1:3" x14ac:dyDescent="0.5">
      <c r="A34" t="s">
        <v>1138</v>
      </c>
      <c r="B34">
        <v>2</v>
      </c>
      <c r="C34" t="s">
        <v>1114</v>
      </c>
    </row>
    <row r="35" spans="1:3" x14ac:dyDescent="0.5">
      <c r="A35" t="s">
        <v>158</v>
      </c>
      <c r="B35">
        <v>2</v>
      </c>
      <c r="C35" t="s">
        <v>1139</v>
      </c>
    </row>
    <row r="36" spans="1:3" x14ac:dyDescent="0.5">
      <c r="A36" t="s">
        <v>157</v>
      </c>
      <c r="B36">
        <v>2</v>
      </c>
      <c r="C36" t="s">
        <v>1139</v>
      </c>
    </row>
    <row r="37" spans="1:3" x14ac:dyDescent="0.5">
      <c r="A37" t="s">
        <v>156</v>
      </c>
      <c r="B37">
        <v>2</v>
      </c>
      <c r="C37" t="s">
        <v>1139</v>
      </c>
    </row>
    <row r="38" spans="1:3" x14ac:dyDescent="0.5">
      <c r="A38" t="s">
        <v>857</v>
      </c>
      <c r="B38">
        <v>4</v>
      </c>
      <c r="C38" t="s">
        <v>1140</v>
      </c>
    </row>
    <row r="39" spans="1:3" x14ac:dyDescent="0.5">
      <c r="A39" t="s">
        <v>154</v>
      </c>
      <c r="B39">
        <v>2</v>
      </c>
      <c r="C39" t="s">
        <v>1139</v>
      </c>
    </row>
    <row r="40" spans="1:3" x14ac:dyDescent="0.5">
      <c r="A40" t="s">
        <v>624</v>
      </c>
      <c r="B40">
        <v>1</v>
      </c>
      <c r="C40" t="s">
        <v>1141</v>
      </c>
    </row>
    <row r="41" spans="1:3" x14ac:dyDescent="0.5">
      <c r="A41" t="s">
        <v>150</v>
      </c>
      <c r="B41">
        <v>2</v>
      </c>
      <c r="C41" t="s">
        <v>1139</v>
      </c>
    </row>
    <row r="42" spans="1:3" x14ac:dyDescent="0.5">
      <c r="A42" t="s">
        <v>14</v>
      </c>
      <c r="B42">
        <v>2</v>
      </c>
      <c r="C42" t="s">
        <v>1142</v>
      </c>
    </row>
    <row r="43" spans="1:3" x14ac:dyDescent="0.5">
      <c r="A43" t="s">
        <v>255</v>
      </c>
      <c r="B43">
        <v>3</v>
      </c>
      <c r="C43" t="s">
        <v>1120</v>
      </c>
    </row>
    <row r="44" spans="1:3" x14ac:dyDescent="0.5">
      <c r="A44" t="s">
        <v>422</v>
      </c>
      <c r="B44">
        <v>3</v>
      </c>
      <c r="C44" t="s">
        <v>1142</v>
      </c>
    </row>
    <row r="45" spans="1:3" x14ac:dyDescent="0.5">
      <c r="A45" t="s">
        <v>717</v>
      </c>
      <c r="B45">
        <v>3</v>
      </c>
      <c r="C45" t="s">
        <v>1143</v>
      </c>
    </row>
    <row r="46" spans="1:3" x14ac:dyDescent="0.5">
      <c r="A46" t="s">
        <v>635</v>
      </c>
      <c r="B46" t="s">
        <v>1119</v>
      </c>
      <c r="C46" t="s">
        <v>1114</v>
      </c>
    </row>
    <row r="47" spans="1:3" x14ac:dyDescent="0.5">
      <c r="A47" t="s">
        <v>8</v>
      </c>
      <c r="B47">
        <v>1</v>
      </c>
      <c r="C47" t="s">
        <v>1120</v>
      </c>
    </row>
    <row r="48" spans="1:3" x14ac:dyDescent="0.5">
      <c r="A48" t="s">
        <v>1071</v>
      </c>
      <c r="B48">
        <v>1</v>
      </c>
      <c r="C48" t="s">
        <v>1131</v>
      </c>
    </row>
    <row r="49" spans="1:3" x14ac:dyDescent="0.5">
      <c r="A49" t="s">
        <v>654</v>
      </c>
      <c r="B49">
        <v>2</v>
      </c>
      <c r="C49" t="s">
        <v>1126</v>
      </c>
    </row>
    <row r="50" spans="1:3" x14ac:dyDescent="0.5">
      <c r="A50" t="s">
        <v>652</v>
      </c>
      <c r="B50">
        <v>2</v>
      </c>
      <c r="C50" t="s">
        <v>1126</v>
      </c>
    </row>
    <row r="51" spans="1:3" x14ac:dyDescent="0.5">
      <c r="A51" t="s">
        <v>708</v>
      </c>
      <c r="B51">
        <v>3</v>
      </c>
      <c r="C51" t="s">
        <v>1136</v>
      </c>
    </row>
    <row r="52" spans="1:3" x14ac:dyDescent="0.5">
      <c r="A52" t="s">
        <v>1144</v>
      </c>
      <c r="B52">
        <v>1</v>
      </c>
      <c r="C52" t="s">
        <v>1121</v>
      </c>
    </row>
    <row r="53" spans="1:3" x14ac:dyDescent="0.5">
      <c r="A53" t="s">
        <v>804</v>
      </c>
      <c r="B53" t="s">
        <v>1119</v>
      </c>
      <c r="C53" t="s">
        <v>1121</v>
      </c>
    </row>
    <row r="54" spans="1:3" x14ac:dyDescent="0.5">
      <c r="A54" t="s">
        <v>468</v>
      </c>
      <c r="B54">
        <v>2</v>
      </c>
      <c r="C54" t="s">
        <v>1136</v>
      </c>
    </row>
    <row r="55" spans="1:3" x14ac:dyDescent="0.5">
      <c r="A55" t="s">
        <v>502</v>
      </c>
      <c r="B55">
        <v>2</v>
      </c>
      <c r="C55" t="s">
        <v>1120</v>
      </c>
    </row>
    <row r="56" spans="1:3" x14ac:dyDescent="0.5">
      <c r="A56" t="s">
        <v>536</v>
      </c>
      <c r="B56">
        <v>2</v>
      </c>
      <c r="C56" t="s">
        <v>1114</v>
      </c>
    </row>
    <row r="57" spans="1:3" x14ac:dyDescent="0.5">
      <c r="A57" t="s">
        <v>1145</v>
      </c>
      <c r="B57" t="s">
        <v>1146</v>
      </c>
      <c r="C57" t="s">
        <v>1147</v>
      </c>
    </row>
    <row r="58" spans="1:3" x14ac:dyDescent="0.5">
      <c r="A58" t="s">
        <v>1148</v>
      </c>
      <c r="B58" t="s">
        <v>1119</v>
      </c>
      <c r="C58" t="s">
        <v>1121</v>
      </c>
    </row>
    <row r="59" spans="1:3" x14ac:dyDescent="0.5">
      <c r="A59" t="s">
        <v>1149</v>
      </c>
      <c r="B59">
        <v>1</v>
      </c>
      <c r="C59" t="s">
        <v>1131</v>
      </c>
    </row>
    <row r="60" spans="1:3" x14ac:dyDescent="0.5">
      <c r="A60" t="s">
        <v>601</v>
      </c>
      <c r="B60">
        <v>1</v>
      </c>
      <c r="C60" t="s">
        <v>1150</v>
      </c>
    </row>
    <row r="61" spans="1:3" x14ac:dyDescent="0.5">
      <c r="A61" t="s">
        <v>71</v>
      </c>
      <c r="B61">
        <v>1</v>
      </c>
      <c r="C61" t="s">
        <v>1136</v>
      </c>
    </row>
    <row r="62" spans="1:3" x14ac:dyDescent="0.5">
      <c r="A62" t="s">
        <v>60</v>
      </c>
      <c r="B62">
        <v>3</v>
      </c>
      <c r="C62" t="s">
        <v>1136</v>
      </c>
    </row>
    <row r="63" spans="1:3" x14ac:dyDescent="0.5">
      <c r="A63" t="s">
        <v>772</v>
      </c>
      <c r="B63">
        <v>3</v>
      </c>
      <c r="C63" t="s">
        <v>1151</v>
      </c>
    </row>
    <row r="64" spans="1:3" x14ac:dyDescent="0.5">
      <c r="A64" t="s">
        <v>1076</v>
      </c>
      <c r="B64" t="s">
        <v>1119</v>
      </c>
      <c r="C64" t="s">
        <v>1136</v>
      </c>
    </row>
    <row r="65" spans="1:3" x14ac:dyDescent="0.5">
      <c r="A65" t="s">
        <v>1152</v>
      </c>
      <c r="B65" t="s">
        <v>1119</v>
      </c>
      <c r="C65" t="s">
        <v>1136</v>
      </c>
    </row>
    <row r="66" spans="1:3" x14ac:dyDescent="0.5">
      <c r="A66" t="s">
        <v>1152</v>
      </c>
      <c r="B66" t="s">
        <v>1119</v>
      </c>
      <c r="C66" t="s">
        <v>1136</v>
      </c>
    </row>
    <row r="67" spans="1:3" x14ac:dyDescent="0.5">
      <c r="A67" t="s">
        <v>1010</v>
      </c>
      <c r="B67">
        <v>1</v>
      </c>
      <c r="C67" t="s">
        <v>1117</v>
      </c>
    </row>
    <row r="68" spans="1:3" x14ac:dyDescent="0.5">
      <c r="A68" t="s">
        <v>702</v>
      </c>
      <c r="B68">
        <v>2</v>
      </c>
      <c r="C68" t="s">
        <v>1141</v>
      </c>
    </row>
    <row r="69" spans="1:3" x14ac:dyDescent="0.5">
      <c r="A69" t="s">
        <v>569</v>
      </c>
      <c r="B69">
        <v>1</v>
      </c>
      <c r="C69" t="s">
        <v>1114</v>
      </c>
    </row>
    <row r="70" spans="1:3" x14ac:dyDescent="0.5">
      <c r="A70" t="s">
        <v>606</v>
      </c>
      <c r="B70">
        <v>1</v>
      </c>
      <c r="C70" t="s">
        <v>1114</v>
      </c>
    </row>
    <row r="71" spans="1:3" x14ac:dyDescent="0.5">
      <c r="A71" t="s">
        <v>141</v>
      </c>
      <c r="B71">
        <v>2</v>
      </c>
      <c r="C71" t="s">
        <v>1153</v>
      </c>
    </row>
    <row r="72" spans="1:3" x14ac:dyDescent="0.5">
      <c r="A72" t="s">
        <v>460</v>
      </c>
      <c r="B72">
        <v>3</v>
      </c>
      <c r="C72" t="s">
        <v>1114</v>
      </c>
    </row>
    <row r="73" spans="1:3" x14ac:dyDescent="0.5">
      <c r="A73" t="s">
        <v>1028</v>
      </c>
      <c r="B73">
        <v>2</v>
      </c>
      <c r="C73" t="s">
        <v>1131</v>
      </c>
    </row>
    <row r="74" spans="1:3" x14ac:dyDescent="0.5">
      <c r="A74" t="s">
        <v>487</v>
      </c>
      <c r="B74">
        <v>3</v>
      </c>
      <c r="C74" t="s">
        <v>1136</v>
      </c>
    </row>
    <row r="75" spans="1:3" x14ac:dyDescent="0.5">
      <c r="A75" t="s">
        <v>495</v>
      </c>
      <c r="B75">
        <v>3</v>
      </c>
      <c r="C75" t="s">
        <v>1136</v>
      </c>
    </row>
    <row r="76" spans="1:3" x14ac:dyDescent="0.5">
      <c r="A76" t="s">
        <v>1154</v>
      </c>
      <c r="B76" t="s">
        <v>1119</v>
      </c>
      <c r="C76" t="s">
        <v>1147</v>
      </c>
    </row>
    <row r="77" spans="1:3" x14ac:dyDescent="0.5">
      <c r="A77" t="s">
        <v>869</v>
      </c>
      <c r="B77">
        <v>1</v>
      </c>
      <c r="C77" t="s">
        <v>1121</v>
      </c>
    </row>
    <row r="78" spans="1:3" x14ac:dyDescent="0.5">
      <c r="A78" t="s">
        <v>719</v>
      </c>
      <c r="B78">
        <v>1</v>
      </c>
      <c r="C78" t="s">
        <v>1136</v>
      </c>
    </row>
    <row r="79" spans="1:3" x14ac:dyDescent="0.5">
      <c r="A79" t="s">
        <v>997</v>
      </c>
      <c r="B79">
        <v>3</v>
      </c>
      <c r="C79" t="s">
        <v>1131</v>
      </c>
    </row>
    <row r="80" spans="1:3" x14ac:dyDescent="0.5">
      <c r="A80" t="s">
        <v>1155</v>
      </c>
      <c r="B80" t="s">
        <v>1146</v>
      </c>
      <c r="C80" t="s">
        <v>1127</v>
      </c>
    </row>
    <row r="81" spans="1:3" x14ac:dyDescent="0.5">
      <c r="A81" t="s">
        <v>1156</v>
      </c>
      <c r="B81" t="s">
        <v>1119</v>
      </c>
      <c r="C81" t="s">
        <v>1114</v>
      </c>
    </row>
    <row r="82" spans="1:3" x14ac:dyDescent="0.5">
      <c r="A82" t="s">
        <v>611</v>
      </c>
      <c r="B82">
        <v>1</v>
      </c>
      <c r="C82" t="s">
        <v>1114</v>
      </c>
    </row>
    <row r="83" spans="1:3" x14ac:dyDescent="0.5">
      <c r="A83" t="s">
        <v>1157</v>
      </c>
      <c r="B83">
        <v>1</v>
      </c>
      <c r="C83" t="s">
        <v>1126</v>
      </c>
    </row>
    <row r="84" spans="1:3" x14ac:dyDescent="0.5">
      <c r="A84" t="s">
        <v>1077</v>
      </c>
      <c r="B84">
        <v>3</v>
      </c>
      <c r="C84" t="s">
        <v>1114</v>
      </c>
    </row>
    <row r="85" spans="1:3" x14ac:dyDescent="0.5">
      <c r="A85" t="s">
        <v>1158</v>
      </c>
      <c r="B85">
        <v>2</v>
      </c>
      <c r="C85" t="s">
        <v>1159</v>
      </c>
    </row>
    <row r="86" spans="1:3" x14ac:dyDescent="0.5">
      <c r="A86" t="s">
        <v>319</v>
      </c>
      <c r="B86">
        <v>1</v>
      </c>
      <c r="C86" t="s">
        <v>1153</v>
      </c>
    </row>
    <row r="87" spans="1:3" x14ac:dyDescent="0.5">
      <c r="A87" t="s">
        <v>686</v>
      </c>
      <c r="B87">
        <v>1</v>
      </c>
      <c r="C87" t="s">
        <v>1120</v>
      </c>
    </row>
    <row r="88" spans="1:3" x14ac:dyDescent="0.5">
      <c r="A88" t="s">
        <v>984</v>
      </c>
      <c r="B88" t="s">
        <v>1119</v>
      </c>
      <c r="C88" t="s">
        <v>1131</v>
      </c>
    </row>
    <row r="89" spans="1:3" x14ac:dyDescent="0.5">
      <c r="A89" t="s">
        <v>985</v>
      </c>
      <c r="B89">
        <v>2</v>
      </c>
      <c r="C89" t="s">
        <v>1131</v>
      </c>
    </row>
    <row r="90" spans="1:3" x14ac:dyDescent="0.5">
      <c r="A90" t="s">
        <v>1085</v>
      </c>
      <c r="B90">
        <v>3</v>
      </c>
      <c r="C90" t="s">
        <v>1136</v>
      </c>
    </row>
    <row r="91" spans="1:3" x14ac:dyDescent="0.5">
      <c r="A91" t="s">
        <v>330</v>
      </c>
      <c r="B91">
        <v>4</v>
      </c>
      <c r="C91" t="s">
        <v>1136</v>
      </c>
    </row>
    <row r="92" spans="1:3" x14ac:dyDescent="0.5">
      <c r="A92" t="s">
        <v>1160</v>
      </c>
      <c r="B92">
        <v>1</v>
      </c>
      <c r="C92" t="s">
        <v>1131</v>
      </c>
    </row>
    <row r="93" spans="1:3" x14ac:dyDescent="0.5">
      <c r="A93" t="s">
        <v>1161</v>
      </c>
      <c r="B93">
        <v>1</v>
      </c>
      <c r="C93" t="s">
        <v>1131</v>
      </c>
    </row>
    <row r="94" spans="1:3" x14ac:dyDescent="0.5">
      <c r="A94" t="s">
        <v>1043</v>
      </c>
      <c r="B94">
        <v>3</v>
      </c>
      <c r="C94" t="s">
        <v>1143</v>
      </c>
    </row>
    <row r="95" spans="1:3" x14ac:dyDescent="0.5">
      <c r="A95" t="s">
        <v>1162</v>
      </c>
      <c r="B95">
        <v>3</v>
      </c>
      <c r="C95" t="s">
        <v>1163</v>
      </c>
    </row>
    <row r="96" spans="1:3" x14ac:dyDescent="0.5">
      <c r="A96" t="s">
        <v>351</v>
      </c>
      <c r="B96">
        <v>3</v>
      </c>
      <c r="C96" t="s">
        <v>1164</v>
      </c>
    </row>
    <row r="97" spans="1:3" x14ac:dyDescent="0.5">
      <c r="A97" t="s">
        <v>552</v>
      </c>
      <c r="B97">
        <v>4</v>
      </c>
      <c r="C97" t="s">
        <v>1165</v>
      </c>
    </row>
    <row r="98" spans="1:3" x14ac:dyDescent="0.5">
      <c r="A98" t="s">
        <v>681</v>
      </c>
      <c r="B98">
        <v>2</v>
      </c>
      <c r="C98" t="s">
        <v>1136</v>
      </c>
    </row>
    <row r="99" spans="1:3" x14ac:dyDescent="0.5">
      <c r="A99" t="s">
        <v>1166</v>
      </c>
      <c r="B99">
        <v>2</v>
      </c>
      <c r="C99" t="s">
        <v>1131</v>
      </c>
    </row>
    <row r="100" spans="1:3" x14ac:dyDescent="0.5">
      <c r="A100" t="s">
        <v>1167</v>
      </c>
      <c r="B100">
        <v>4</v>
      </c>
      <c r="C100" t="s">
        <v>1136</v>
      </c>
    </row>
    <row r="101" spans="1:3" x14ac:dyDescent="0.5">
      <c r="A101" t="s">
        <v>1168</v>
      </c>
      <c r="B101" t="s">
        <v>1119</v>
      </c>
      <c r="C101" t="s">
        <v>1121</v>
      </c>
    </row>
    <row r="102" spans="1:3" x14ac:dyDescent="0.5">
      <c r="A102" t="s">
        <v>1169</v>
      </c>
      <c r="B102">
        <v>2</v>
      </c>
      <c r="C102" t="s">
        <v>1170</v>
      </c>
    </row>
    <row r="103" spans="1:3" x14ac:dyDescent="0.5">
      <c r="A103" t="s">
        <v>1171</v>
      </c>
      <c r="B103">
        <v>2</v>
      </c>
      <c r="C103" t="s">
        <v>1170</v>
      </c>
    </row>
    <row r="104" spans="1:3" x14ac:dyDescent="0.5">
      <c r="A104" t="s">
        <v>1172</v>
      </c>
      <c r="B104">
        <v>2</v>
      </c>
      <c r="C104" t="s">
        <v>1121</v>
      </c>
    </row>
    <row r="105" spans="1:3" x14ac:dyDescent="0.5">
      <c r="A105" t="s">
        <v>1173</v>
      </c>
      <c r="B105" t="s">
        <v>1119</v>
      </c>
      <c r="C105" t="s">
        <v>1170</v>
      </c>
    </row>
    <row r="106" spans="1:3" x14ac:dyDescent="0.5">
      <c r="A106" t="s">
        <v>1174</v>
      </c>
      <c r="B106">
        <v>2</v>
      </c>
      <c r="C106" t="s">
        <v>1139</v>
      </c>
    </row>
    <row r="107" spans="1:3" x14ac:dyDescent="0.5">
      <c r="A107" t="s">
        <v>1175</v>
      </c>
      <c r="B107">
        <v>3</v>
      </c>
      <c r="C107" t="s">
        <v>1121</v>
      </c>
    </row>
    <row r="108" spans="1:3" x14ac:dyDescent="0.5">
      <c r="A108" t="s">
        <v>759</v>
      </c>
      <c r="B108">
        <v>1</v>
      </c>
      <c r="C108" t="s">
        <v>1121</v>
      </c>
    </row>
    <row r="109" spans="1:3" x14ac:dyDescent="0.5">
      <c r="A109" t="s">
        <v>1176</v>
      </c>
      <c r="B109">
        <v>1</v>
      </c>
      <c r="C109" t="s">
        <v>1177</v>
      </c>
    </row>
    <row r="110" spans="1:3" x14ac:dyDescent="0.5">
      <c r="A110" t="s">
        <v>31</v>
      </c>
      <c r="B110">
        <v>3</v>
      </c>
      <c r="C110" t="s">
        <v>1136</v>
      </c>
    </row>
    <row r="111" spans="1:3" x14ac:dyDescent="0.5">
      <c r="A111" t="s">
        <v>1178</v>
      </c>
      <c r="B111">
        <v>3</v>
      </c>
      <c r="C111" t="s">
        <v>1136</v>
      </c>
    </row>
    <row r="112" spans="1:3" x14ac:dyDescent="0.5">
      <c r="A112" t="s">
        <v>165</v>
      </c>
      <c r="B112">
        <v>3</v>
      </c>
      <c r="C112" t="s">
        <v>1136</v>
      </c>
    </row>
    <row r="113" spans="1:3" x14ac:dyDescent="0.5">
      <c r="A113" t="s">
        <v>1179</v>
      </c>
      <c r="B113">
        <v>1</v>
      </c>
      <c r="C113" t="s">
        <v>1180</v>
      </c>
    </row>
    <row r="114" spans="1:3" x14ac:dyDescent="0.5">
      <c r="A114" t="s">
        <v>768</v>
      </c>
      <c r="B114">
        <v>1</v>
      </c>
      <c r="C114" t="s">
        <v>1180</v>
      </c>
    </row>
    <row r="115" spans="1:3" x14ac:dyDescent="0.5">
      <c r="A115" t="s">
        <v>1067</v>
      </c>
      <c r="B115">
        <v>3</v>
      </c>
      <c r="C115" t="s">
        <v>1136</v>
      </c>
    </row>
    <row r="116" spans="1:3" x14ac:dyDescent="0.5">
      <c r="A116" t="s">
        <v>176</v>
      </c>
      <c r="B116">
        <v>2</v>
      </c>
      <c r="C116" t="s">
        <v>1136</v>
      </c>
    </row>
    <row r="117" spans="1:3" x14ac:dyDescent="0.5">
      <c r="A117" t="s">
        <v>1008</v>
      </c>
      <c r="B117">
        <v>2</v>
      </c>
      <c r="C117" t="s">
        <v>1131</v>
      </c>
    </row>
    <row r="118" spans="1:3" x14ac:dyDescent="0.5">
      <c r="A118" t="s">
        <v>1181</v>
      </c>
      <c r="B118">
        <v>3</v>
      </c>
      <c r="C118" t="s">
        <v>1121</v>
      </c>
    </row>
    <row r="119" spans="1:3" x14ac:dyDescent="0.5">
      <c r="A119" t="s">
        <v>1182</v>
      </c>
      <c r="B119">
        <v>3</v>
      </c>
      <c r="C119" t="s">
        <v>1136</v>
      </c>
    </row>
    <row r="120" spans="1:3" x14ac:dyDescent="0.5">
      <c r="A120" t="s">
        <v>1183</v>
      </c>
      <c r="B120">
        <v>2</v>
      </c>
      <c r="C120" t="s">
        <v>1136</v>
      </c>
    </row>
    <row r="121" spans="1:3" x14ac:dyDescent="0.5">
      <c r="A121" t="s">
        <v>1184</v>
      </c>
      <c r="B121">
        <v>2</v>
      </c>
      <c r="C121" t="s">
        <v>1136</v>
      </c>
    </row>
    <row r="122" spans="1:3" x14ac:dyDescent="0.5">
      <c r="A122" t="s">
        <v>1185</v>
      </c>
      <c r="B122">
        <v>1</v>
      </c>
      <c r="C122" t="s">
        <v>1136</v>
      </c>
    </row>
    <row r="123" spans="1:3" x14ac:dyDescent="0.5">
      <c r="A123" t="s">
        <v>1186</v>
      </c>
      <c r="B123" t="s">
        <v>1119</v>
      </c>
      <c r="C123" t="s">
        <v>1121</v>
      </c>
    </row>
    <row r="124" spans="1:3" x14ac:dyDescent="0.5">
      <c r="A124" t="s">
        <v>1187</v>
      </c>
      <c r="B124">
        <v>3</v>
      </c>
      <c r="C124" t="s">
        <v>1131</v>
      </c>
    </row>
    <row r="125" spans="1:3" x14ac:dyDescent="0.5">
      <c r="A125" t="s">
        <v>1188</v>
      </c>
      <c r="B125" t="s">
        <v>1119</v>
      </c>
      <c r="C125" t="s">
        <v>1121</v>
      </c>
    </row>
    <row r="126" spans="1:3" x14ac:dyDescent="0.5">
      <c r="A126" t="s">
        <v>1189</v>
      </c>
      <c r="B126" t="s">
        <v>1119</v>
      </c>
      <c r="C126" t="s">
        <v>1121</v>
      </c>
    </row>
    <row r="127" spans="1:3" x14ac:dyDescent="0.5">
      <c r="A127" t="s">
        <v>1190</v>
      </c>
      <c r="B127">
        <v>1</v>
      </c>
      <c r="C127" t="s">
        <v>1191</v>
      </c>
    </row>
    <row r="128" spans="1:3" x14ac:dyDescent="0.5">
      <c r="A128" t="s">
        <v>1192</v>
      </c>
      <c r="B128">
        <v>3</v>
      </c>
      <c r="C128" t="s">
        <v>1140</v>
      </c>
    </row>
    <row r="129" spans="1:3" x14ac:dyDescent="0.5">
      <c r="A129" t="s">
        <v>1193</v>
      </c>
      <c r="B129">
        <v>2</v>
      </c>
      <c r="C129" t="s">
        <v>1121</v>
      </c>
    </row>
    <row r="130" spans="1:3" x14ac:dyDescent="0.5">
      <c r="A130" t="s">
        <v>1010</v>
      </c>
      <c r="B130" t="s">
        <v>1146</v>
      </c>
      <c r="C130" t="s">
        <v>1117</v>
      </c>
    </row>
    <row r="131" spans="1:3" x14ac:dyDescent="0.5">
      <c r="A131" t="s">
        <v>977</v>
      </c>
      <c r="B131">
        <v>3</v>
      </c>
      <c r="C131" t="s">
        <v>1120</v>
      </c>
    </row>
    <row r="132" spans="1:3" x14ac:dyDescent="0.5">
      <c r="A132" t="s">
        <v>1194</v>
      </c>
      <c r="B132">
        <v>4</v>
      </c>
      <c r="C132" t="s">
        <v>1195</v>
      </c>
    </row>
    <row r="133" spans="1:3" x14ac:dyDescent="0.5">
      <c r="A133" t="s">
        <v>1196</v>
      </c>
      <c r="B133">
        <v>2</v>
      </c>
      <c r="C133" t="s">
        <v>1136</v>
      </c>
    </row>
    <row r="134" spans="1:3" x14ac:dyDescent="0.5">
      <c r="A134" t="s">
        <v>1197</v>
      </c>
      <c r="B134">
        <v>3</v>
      </c>
      <c r="C134" t="s">
        <v>1143</v>
      </c>
    </row>
    <row r="135" spans="1:3" x14ac:dyDescent="0.5">
      <c r="A135" t="s">
        <v>1198</v>
      </c>
      <c r="B135">
        <v>4</v>
      </c>
      <c r="C135" t="s">
        <v>1150</v>
      </c>
    </row>
    <row r="136" spans="1:3" x14ac:dyDescent="0.5">
      <c r="A136" t="s">
        <v>1199</v>
      </c>
      <c r="B136">
        <v>2</v>
      </c>
      <c r="C136" t="s">
        <v>1151</v>
      </c>
    </row>
    <row r="137" spans="1:3" x14ac:dyDescent="0.5">
      <c r="A137" t="s">
        <v>960</v>
      </c>
      <c r="B137" t="s">
        <v>1119</v>
      </c>
      <c r="C137" t="s">
        <v>1121</v>
      </c>
    </row>
    <row r="138" spans="1:3" x14ac:dyDescent="0.5">
      <c r="A138" t="s">
        <v>958</v>
      </c>
      <c r="B138">
        <v>1</v>
      </c>
      <c r="C138" t="s">
        <v>1121</v>
      </c>
    </row>
    <row r="139" spans="1:3" x14ac:dyDescent="0.5">
      <c r="A139" t="s">
        <v>952</v>
      </c>
      <c r="B139">
        <v>1</v>
      </c>
      <c r="C139" t="s">
        <v>1121</v>
      </c>
    </row>
    <row r="140" spans="1:3" x14ac:dyDescent="0.5">
      <c r="A140" t="s">
        <v>955</v>
      </c>
      <c r="B140">
        <v>1</v>
      </c>
      <c r="C140" t="s">
        <v>1121</v>
      </c>
    </row>
    <row r="141" spans="1:3" x14ac:dyDescent="0.5">
      <c r="A141" t="s">
        <v>949</v>
      </c>
      <c r="B141">
        <v>1</v>
      </c>
      <c r="C141" t="s">
        <v>1121</v>
      </c>
    </row>
    <row r="142" spans="1:3" x14ac:dyDescent="0.5">
      <c r="A142" t="s">
        <v>1200</v>
      </c>
      <c r="B142">
        <v>2</v>
      </c>
      <c r="C142" t="s">
        <v>1151</v>
      </c>
    </row>
    <row r="143" spans="1:3" x14ac:dyDescent="0.5">
      <c r="A143" t="s">
        <v>1201</v>
      </c>
      <c r="B143">
        <v>1</v>
      </c>
      <c r="C143" t="s">
        <v>1151</v>
      </c>
    </row>
    <row r="144" spans="1:3" x14ac:dyDescent="0.5">
      <c r="A144" t="s">
        <v>1202</v>
      </c>
      <c r="B144">
        <v>1</v>
      </c>
      <c r="C144" t="s">
        <v>1151</v>
      </c>
    </row>
    <row r="145" spans="1:3" x14ac:dyDescent="0.5">
      <c r="A145" t="s">
        <v>1203</v>
      </c>
      <c r="B145">
        <v>1</v>
      </c>
      <c r="C145" t="s">
        <v>1151</v>
      </c>
    </row>
    <row r="146" spans="1:3" x14ac:dyDescent="0.5">
      <c r="A146" t="s">
        <v>1204</v>
      </c>
      <c r="B146">
        <v>2</v>
      </c>
      <c r="C146" t="s">
        <v>1151</v>
      </c>
    </row>
    <row r="147" spans="1:3" x14ac:dyDescent="0.5">
      <c r="A147" t="s">
        <v>1205</v>
      </c>
      <c r="B147">
        <v>1</v>
      </c>
      <c r="C147" t="s">
        <v>1151</v>
      </c>
    </row>
    <row r="148" spans="1:3" x14ac:dyDescent="0.5">
      <c r="A148" t="s">
        <v>1206</v>
      </c>
      <c r="B148">
        <v>2</v>
      </c>
      <c r="C148" t="s">
        <v>1151</v>
      </c>
    </row>
    <row r="149" spans="1:3" x14ac:dyDescent="0.5">
      <c r="A149" t="s">
        <v>1207</v>
      </c>
      <c r="B149">
        <v>4</v>
      </c>
      <c r="C149" t="s">
        <v>1143</v>
      </c>
    </row>
    <row r="150" spans="1:3" x14ac:dyDescent="0.5">
      <c r="A150" t="s">
        <v>1208</v>
      </c>
      <c r="B150">
        <v>1</v>
      </c>
      <c r="C150" t="s">
        <v>1121</v>
      </c>
    </row>
    <row r="151" spans="1:3" x14ac:dyDescent="0.5">
      <c r="A151" t="s">
        <v>1209</v>
      </c>
      <c r="B151" t="s">
        <v>1119</v>
      </c>
      <c r="C151" t="s">
        <v>1121</v>
      </c>
    </row>
    <row r="152" spans="1:3" x14ac:dyDescent="0.5">
      <c r="A152" t="s">
        <v>1210</v>
      </c>
      <c r="B152" t="s">
        <v>1119</v>
      </c>
      <c r="C152" t="s">
        <v>1121</v>
      </c>
    </row>
    <row r="153" spans="1:3" x14ac:dyDescent="0.5">
      <c r="A153" t="s">
        <v>1211</v>
      </c>
      <c r="B153">
        <v>2</v>
      </c>
      <c r="C153" t="s">
        <v>1136</v>
      </c>
    </row>
    <row r="154" spans="1:3" x14ac:dyDescent="0.5">
      <c r="A154" t="s">
        <v>1212</v>
      </c>
      <c r="B154">
        <v>3</v>
      </c>
      <c r="C154" t="s">
        <v>1143</v>
      </c>
    </row>
    <row r="155" spans="1:3" x14ac:dyDescent="0.5">
      <c r="A155" t="s">
        <v>1213</v>
      </c>
      <c r="B155">
        <v>3</v>
      </c>
      <c r="C155" t="s">
        <v>1136</v>
      </c>
    </row>
    <row r="156" spans="1:3" x14ac:dyDescent="0.5">
      <c r="A156" t="s">
        <v>991</v>
      </c>
      <c r="B156">
        <v>2</v>
      </c>
      <c r="C156" t="s">
        <v>1131</v>
      </c>
    </row>
    <row r="157" spans="1:3" x14ac:dyDescent="0.5">
      <c r="A157" t="s">
        <v>1214</v>
      </c>
      <c r="B157">
        <v>1</v>
      </c>
      <c r="C157" t="s">
        <v>1121</v>
      </c>
    </row>
    <row r="158" spans="1:3" x14ac:dyDescent="0.5">
      <c r="A158" t="s">
        <v>677</v>
      </c>
      <c r="B158">
        <v>1</v>
      </c>
      <c r="C158" t="s">
        <v>1126</v>
      </c>
    </row>
    <row r="159" spans="1:3" x14ac:dyDescent="0.5">
      <c r="A159" t="s">
        <v>365</v>
      </c>
      <c r="B159">
        <v>2</v>
      </c>
      <c r="C159" t="s">
        <v>1142</v>
      </c>
    </row>
    <row r="160" spans="1:3" x14ac:dyDescent="0.5">
      <c r="A160" t="s">
        <v>1215</v>
      </c>
      <c r="B160">
        <v>2</v>
      </c>
      <c r="C160" t="s">
        <v>1142</v>
      </c>
    </row>
    <row r="161" spans="1:3" x14ac:dyDescent="0.5">
      <c r="A161" t="s">
        <v>1216</v>
      </c>
      <c r="B161">
        <v>1</v>
      </c>
      <c r="C161" t="s">
        <v>1217</v>
      </c>
    </row>
    <row r="162" spans="1:3" x14ac:dyDescent="0.5">
      <c r="A162" t="s">
        <v>506</v>
      </c>
      <c r="B162">
        <v>2</v>
      </c>
      <c r="C162" t="s">
        <v>1218</v>
      </c>
    </row>
    <row r="163" spans="1:3" x14ac:dyDescent="0.5">
      <c r="A163" t="s">
        <v>832</v>
      </c>
      <c r="B163">
        <v>1</v>
      </c>
      <c r="C163" t="s">
        <v>1121</v>
      </c>
    </row>
    <row r="164" spans="1:3" x14ac:dyDescent="0.5">
      <c r="A164" t="s">
        <v>1219</v>
      </c>
      <c r="B164">
        <v>2</v>
      </c>
      <c r="C164" t="s">
        <v>1159</v>
      </c>
    </row>
    <row r="165" spans="1:3" x14ac:dyDescent="0.5">
      <c r="A165" t="s">
        <v>1220</v>
      </c>
      <c r="B165" t="s">
        <v>1119</v>
      </c>
      <c r="C165" t="s">
        <v>1121</v>
      </c>
    </row>
    <row r="166" spans="1:3" x14ac:dyDescent="0.5">
      <c r="A166" t="s">
        <v>1221</v>
      </c>
      <c r="B166" t="s">
        <v>1119</v>
      </c>
      <c r="C166" t="s">
        <v>1121</v>
      </c>
    </row>
    <row r="167" spans="1:3" x14ac:dyDescent="0.5">
      <c r="A167" t="s">
        <v>1222</v>
      </c>
      <c r="B167" t="s">
        <v>1119</v>
      </c>
      <c r="C167" t="s">
        <v>1121</v>
      </c>
    </row>
    <row r="168" spans="1:3" x14ac:dyDescent="0.5">
      <c r="A168" t="s">
        <v>1223</v>
      </c>
      <c r="B168">
        <v>2</v>
      </c>
      <c r="C168" t="s">
        <v>1147</v>
      </c>
    </row>
    <row r="169" spans="1:3" x14ac:dyDescent="0.5">
      <c r="A169" t="s">
        <v>1004</v>
      </c>
      <c r="B169">
        <v>1</v>
      </c>
      <c r="C169" t="s">
        <v>1131</v>
      </c>
    </row>
    <row r="170" spans="1:3" x14ac:dyDescent="0.5">
      <c r="A170" t="s">
        <v>1224</v>
      </c>
      <c r="B170">
        <v>2</v>
      </c>
      <c r="C170" t="s">
        <v>1136</v>
      </c>
    </row>
    <row r="171" spans="1:3" x14ac:dyDescent="0.5">
      <c r="A171" t="s">
        <v>445</v>
      </c>
      <c r="B171">
        <v>1</v>
      </c>
      <c r="C171" t="s">
        <v>1159</v>
      </c>
    </row>
    <row r="172" spans="1:3" x14ac:dyDescent="0.5">
      <c r="A172" t="s">
        <v>1225</v>
      </c>
      <c r="B172">
        <v>1</v>
      </c>
      <c r="C172" t="s">
        <v>1121</v>
      </c>
    </row>
    <row r="173" spans="1:3" x14ac:dyDescent="0.5">
      <c r="A173" t="s">
        <v>831</v>
      </c>
      <c r="B173">
        <v>2</v>
      </c>
      <c r="C173" t="s">
        <v>1121</v>
      </c>
    </row>
    <row r="174" spans="1:3" x14ac:dyDescent="0.5">
      <c r="A174" t="s">
        <v>324</v>
      </c>
      <c r="B174">
        <v>3</v>
      </c>
      <c r="C174" t="s">
        <v>1136</v>
      </c>
    </row>
    <row r="175" spans="1:3" x14ac:dyDescent="0.5">
      <c r="A175" t="s">
        <v>643</v>
      </c>
      <c r="B175">
        <v>2</v>
      </c>
      <c r="C175" t="s">
        <v>1126</v>
      </c>
    </row>
    <row r="176" spans="1:3" x14ac:dyDescent="0.5">
      <c r="A176" t="s">
        <v>1226</v>
      </c>
      <c r="B176">
        <v>2</v>
      </c>
      <c r="C176" t="s">
        <v>1114</v>
      </c>
    </row>
    <row r="177" spans="1:3" x14ac:dyDescent="0.5">
      <c r="A177" t="s">
        <v>1227</v>
      </c>
      <c r="B177">
        <v>2</v>
      </c>
      <c r="C177" t="s">
        <v>1117</v>
      </c>
    </row>
    <row r="178" spans="1:3" x14ac:dyDescent="0.5">
      <c r="A178" t="s">
        <v>988</v>
      </c>
      <c r="B178">
        <v>1</v>
      </c>
      <c r="C178" t="s">
        <v>1121</v>
      </c>
    </row>
    <row r="179" spans="1:3" x14ac:dyDescent="0.5">
      <c r="A179" t="s">
        <v>1031</v>
      </c>
      <c r="B179">
        <v>1</v>
      </c>
      <c r="C179" t="s">
        <v>1131</v>
      </c>
    </row>
    <row r="180" spans="1:3" x14ac:dyDescent="0.5">
      <c r="A180" t="s">
        <v>892</v>
      </c>
      <c r="B180">
        <v>2</v>
      </c>
      <c r="C180" t="s">
        <v>1121</v>
      </c>
    </row>
    <row r="181" spans="1:3" x14ac:dyDescent="0.5">
      <c r="A181" t="s">
        <v>890</v>
      </c>
      <c r="B181">
        <v>2</v>
      </c>
      <c r="C181" t="s">
        <v>1121</v>
      </c>
    </row>
    <row r="182" spans="1:3" x14ac:dyDescent="0.5">
      <c r="A182" t="s">
        <v>987</v>
      </c>
      <c r="B182">
        <v>3</v>
      </c>
      <c r="C182" t="s">
        <v>1131</v>
      </c>
    </row>
    <row r="183" spans="1:3" x14ac:dyDescent="0.5">
      <c r="A183" t="s">
        <v>452</v>
      </c>
      <c r="B183">
        <v>4</v>
      </c>
      <c r="C183" t="s">
        <v>1228</v>
      </c>
    </row>
    <row r="184" spans="1:3" x14ac:dyDescent="0.5">
      <c r="A184" t="s">
        <v>911</v>
      </c>
      <c r="B184">
        <v>2</v>
      </c>
      <c r="C184" t="s">
        <v>1136</v>
      </c>
    </row>
    <row r="185" spans="1:3" x14ac:dyDescent="0.5">
      <c r="A185" t="s">
        <v>1229</v>
      </c>
      <c r="B185">
        <v>4</v>
      </c>
      <c r="C185" t="s">
        <v>1121</v>
      </c>
    </row>
    <row r="186" spans="1:3" x14ac:dyDescent="0.5">
      <c r="A186" t="s">
        <v>1230</v>
      </c>
      <c r="B186">
        <v>1</v>
      </c>
      <c r="C186" t="s">
        <v>1121</v>
      </c>
    </row>
    <row r="187" spans="1:3" x14ac:dyDescent="0.5">
      <c r="A187" t="s">
        <v>1231</v>
      </c>
      <c r="B187">
        <v>1</v>
      </c>
      <c r="C187" t="s">
        <v>1127</v>
      </c>
    </row>
    <row r="188" spans="1:3" x14ac:dyDescent="0.5">
      <c r="A188" t="s">
        <v>42</v>
      </c>
      <c r="B188">
        <v>1</v>
      </c>
      <c r="C188" t="s">
        <v>1127</v>
      </c>
    </row>
    <row r="189" spans="1:3" x14ac:dyDescent="0.5">
      <c r="A189" t="s">
        <v>1232</v>
      </c>
      <c r="B189">
        <v>1</v>
      </c>
      <c r="C189" t="s">
        <v>1127</v>
      </c>
    </row>
    <row r="190" spans="1:3" x14ac:dyDescent="0.5">
      <c r="A190" t="s">
        <v>1233</v>
      </c>
      <c r="B190">
        <v>1</v>
      </c>
      <c r="C190" t="s">
        <v>1127</v>
      </c>
    </row>
    <row r="191" spans="1:3" x14ac:dyDescent="0.5">
      <c r="A191" t="s">
        <v>1234</v>
      </c>
      <c r="B191">
        <v>1</v>
      </c>
      <c r="C191" t="s">
        <v>1127</v>
      </c>
    </row>
    <row r="192" spans="1:3" x14ac:dyDescent="0.5">
      <c r="A192" t="s">
        <v>1235</v>
      </c>
      <c r="B192">
        <v>1</v>
      </c>
      <c r="C192" t="s">
        <v>1127</v>
      </c>
    </row>
    <row r="193" spans="1:3" x14ac:dyDescent="0.5">
      <c r="A193" t="s">
        <v>1236</v>
      </c>
      <c r="B193">
        <v>2</v>
      </c>
      <c r="C193" t="s">
        <v>1127</v>
      </c>
    </row>
    <row r="194" spans="1:3" x14ac:dyDescent="0.5">
      <c r="A194" t="s">
        <v>1237</v>
      </c>
      <c r="B194">
        <v>2</v>
      </c>
      <c r="C194" t="s">
        <v>1139</v>
      </c>
    </row>
    <row r="195" spans="1:3" x14ac:dyDescent="0.5">
      <c r="A195" t="s">
        <v>715</v>
      </c>
      <c r="B195">
        <v>1</v>
      </c>
      <c r="C195" t="s">
        <v>1120</v>
      </c>
    </row>
    <row r="196" spans="1:3" x14ac:dyDescent="0.5">
      <c r="A196" t="s">
        <v>713</v>
      </c>
      <c r="B196">
        <v>3</v>
      </c>
      <c r="C196" t="s">
        <v>1120</v>
      </c>
    </row>
    <row r="197" spans="1:3" x14ac:dyDescent="0.5">
      <c r="A197" t="s">
        <v>411</v>
      </c>
      <c r="B197" t="s">
        <v>1146</v>
      </c>
      <c r="C197" t="s">
        <v>1127</v>
      </c>
    </row>
    <row r="198" spans="1:3" x14ac:dyDescent="0.5">
      <c r="A198" t="s">
        <v>1238</v>
      </c>
      <c r="B198">
        <v>3</v>
      </c>
      <c r="C198" t="s">
        <v>1136</v>
      </c>
    </row>
    <row r="199" spans="1:3" x14ac:dyDescent="0.5">
      <c r="A199" t="s">
        <v>1239</v>
      </c>
      <c r="B199">
        <v>3</v>
      </c>
      <c r="C199" t="s">
        <v>1136</v>
      </c>
    </row>
    <row r="200" spans="1:3" x14ac:dyDescent="0.5">
      <c r="A200" t="s">
        <v>1240</v>
      </c>
      <c r="B200">
        <v>4</v>
      </c>
      <c r="C200" t="s">
        <v>1165</v>
      </c>
    </row>
    <row r="201" spans="1:3" x14ac:dyDescent="0.5">
      <c r="A201" t="s">
        <v>1241</v>
      </c>
      <c r="B201">
        <v>2</v>
      </c>
      <c r="C201" t="s">
        <v>1121</v>
      </c>
    </row>
    <row r="202" spans="1:3" x14ac:dyDescent="0.5">
      <c r="A202" t="s">
        <v>216</v>
      </c>
      <c r="B202">
        <v>2</v>
      </c>
      <c r="C202" t="s">
        <v>1136</v>
      </c>
    </row>
    <row r="203" spans="1:3" x14ac:dyDescent="0.5">
      <c r="A203" t="s">
        <v>1242</v>
      </c>
      <c r="B203">
        <v>1</v>
      </c>
      <c r="C203" t="s">
        <v>1120</v>
      </c>
    </row>
    <row r="204" spans="1:3" x14ac:dyDescent="0.5">
      <c r="A204" t="s">
        <v>1243</v>
      </c>
      <c r="B204">
        <v>2</v>
      </c>
      <c r="C204" t="s">
        <v>1244</v>
      </c>
    </row>
    <row r="205" spans="1:3" x14ac:dyDescent="0.5">
      <c r="A205" t="s">
        <v>774</v>
      </c>
      <c r="B205" t="s">
        <v>1119</v>
      </c>
      <c r="C205" t="s">
        <v>1147</v>
      </c>
    </row>
    <row r="206" spans="1:3" x14ac:dyDescent="0.5">
      <c r="A206" t="s">
        <v>530</v>
      </c>
      <c r="B206">
        <v>2</v>
      </c>
      <c r="C206" t="s">
        <v>1114</v>
      </c>
    </row>
    <row r="207" spans="1:3" x14ac:dyDescent="0.5">
      <c r="A207" t="s">
        <v>930</v>
      </c>
      <c r="B207">
        <v>1</v>
      </c>
      <c r="C207" t="s">
        <v>1121</v>
      </c>
    </row>
    <row r="208" spans="1:3" x14ac:dyDescent="0.5">
      <c r="A208" t="s">
        <v>1245</v>
      </c>
      <c r="B208">
        <v>1</v>
      </c>
      <c r="C208" t="s">
        <v>1120</v>
      </c>
    </row>
    <row r="209" spans="1:3" x14ac:dyDescent="0.5">
      <c r="A209" t="s">
        <v>246</v>
      </c>
      <c r="B209">
        <v>1</v>
      </c>
      <c r="C209" t="s">
        <v>1136</v>
      </c>
    </row>
    <row r="210" spans="1:3" x14ac:dyDescent="0.5">
      <c r="A210" t="s">
        <v>937</v>
      </c>
      <c r="B210">
        <v>4</v>
      </c>
      <c r="C210" t="s">
        <v>1191</v>
      </c>
    </row>
    <row r="211" spans="1:3" x14ac:dyDescent="0.5">
      <c r="A211" t="s">
        <v>1246</v>
      </c>
      <c r="B211">
        <v>1</v>
      </c>
      <c r="C211" t="s">
        <v>1120</v>
      </c>
    </row>
    <row r="212" spans="1:3" x14ac:dyDescent="0.5">
      <c r="A212" t="s">
        <v>1247</v>
      </c>
      <c r="B212">
        <v>1</v>
      </c>
      <c r="C212" t="s">
        <v>1121</v>
      </c>
    </row>
    <row r="213" spans="1:3" x14ac:dyDescent="0.5">
      <c r="A213" t="s">
        <v>1248</v>
      </c>
      <c r="B213">
        <v>3</v>
      </c>
      <c r="C213" t="s">
        <v>1249</v>
      </c>
    </row>
    <row r="214" spans="1:3" x14ac:dyDescent="0.5">
      <c r="A214" t="s">
        <v>1250</v>
      </c>
      <c r="B214">
        <v>3</v>
      </c>
      <c r="C214" t="s">
        <v>1143</v>
      </c>
    </row>
    <row r="215" spans="1:3" x14ac:dyDescent="0.5">
      <c r="A215" t="s">
        <v>1251</v>
      </c>
      <c r="B215">
        <v>3</v>
      </c>
      <c r="C215" t="s">
        <v>1136</v>
      </c>
    </row>
    <row r="216" spans="1:3" x14ac:dyDescent="0.5">
      <c r="A216" t="s">
        <v>1252</v>
      </c>
      <c r="B216">
        <v>3</v>
      </c>
      <c r="C216" t="s">
        <v>1136</v>
      </c>
    </row>
    <row r="217" spans="1:3" x14ac:dyDescent="0.5">
      <c r="A217" t="s">
        <v>779</v>
      </c>
      <c r="B217">
        <v>2</v>
      </c>
      <c r="C217" t="s">
        <v>1126</v>
      </c>
    </row>
    <row r="218" spans="1:3" x14ac:dyDescent="0.5">
      <c r="A218" t="s">
        <v>307</v>
      </c>
      <c r="B218">
        <v>2</v>
      </c>
      <c r="C218" t="s">
        <v>1139</v>
      </c>
    </row>
    <row r="219" spans="1:3" x14ac:dyDescent="0.5">
      <c r="A219" t="s">
        <v>515</v>
      </c>
      <c r="B219">
        <v>3</v>
      </c>
      <c r="C219" t="s">
        <v>1114</v>
      </c>
    </row>
    <row r="220" spans="1:3" x14ac:dyDescent="0.5">
      <c r="A220" t="s">
        <v>1091</v>
      </c>
      <c r="B220">
        <v>2</v>
      </c>
      <c r="C220" t="s">
        <v>1125</v>
      </c>
    </row>
    <row r="221" spans="1:3" x14ac:dyDescent="0.5">
      <c r="A221" t="s">
        <v>109</v>
      </c>
      <c r="B221">
        <v>1</v>
      </c>
      <c r="C221" t="s">
        <v>1217</v>
      </c>
    </row>
    <row r="222" spans="1:3" x14ac:dyDescent="0.5">
      <c r="A222" t="s">
        <v>97</v>
      </c>
      <c r="B222">
        <v>2</v>
      </c>
      <c r="C222" t="s">
        <v>1217</v>
      </c>
    </row>
    <row r="223" spans="1:3" x14ac:dyDescent="0.5">
      <c r="A223" t="s">
        <v>85</v>
      </c>
      <c r="B223">
        <v>1</v>
      </c>
      <c r="C223" t="s">
        <v>1217</v>
      </c>
    </row>
    <row r="224" spans="1:3" x14ac:dyDescent="0.5">
      <c r="A224" t="s">
        <v>185</v>
      </c>
      <c r="B224">
        <v>1</v>
      </c>
      <c r="C224" t="s">
        <v>1136</v>
      </c>
    </row>
    <row r="225" spans="1:3" x14ac:dyDescent="0.5">
      <c r="A225" t="s">
        <v>1253</v>
      </c>
      <c r="B225">
        <v>2</v>
      </c>
      <c r="C225" t="s">
        <v>1159</v>
      </c>
    </row>
    <row r="226" spans="1:3" x14ac:dyDescent="0.5">
      <c r="A226" t="s">
        <v>667</v>
      </c>
      <c r="B226">
        <v>3</v>
      </c>
      <c r="C226" t="s">
        <v>1136</v>
      </c>
    </row>
    <row r="227" spans="1:3" x14ac:dyDescent="0.5">
      <c r="A227" t="s">
        <v>1254</v>
      </c>
      <c r="B227">
        <v>4</v>
      </c>
      <c r="C227" t="s">
        <v>1142</v>
      </c>
    </row>
    <row r="228" spans="1:3" x14ac:dyDescent="0.5">
      <c r="A228" t="s">
        <v>1255</v>
      </c>
      <c r="B228">
        <v>2</v>
      </c>
      <c r="C228" t="s">
        <v>1143</v>
      </c>
    </row>
    <row r="229" spans="1:3" x14ac:dyDescent="0.5">
      <c r="A229" t="s">
        <v>439</v>
      </c>
      <c r="B229">
        <v>1</v>
      </c>
      <c r="C229" t="s">
        <v>1249</v>
      </c>
    </row>
    <row r="230" spans="1:3" x14ac:dyDescent="0.5">
      <c r="A230" t="s">
        <v>556</v>
      </c>
      <c r="B230">
        <v>3</v>
      </c>
      <c r="C230" t="s">
        <v>1136</v>
      </c>
    </row>
    <row r="231" spans="1:3" x14ac:dyDescent="0.5">
      <c r="A231" t="s">
        <v>1256</v>
      </c>
      <c r="B231" t="s">
        <v>1119</v>
      </c>
      <c r="C231" t="s">
        <v>1121</v>
      </c>
    </row>
    <row r="232" spans="1:3" x14ac:dyDescent="0.5">
      <c r="A232" t="s">
        <v>1257</v>
      </c>
      <c r="B232">
        <v>2</v>
      </c>
      <c r="C232" t="s">
        <v>1142</v>
      </c>
    </row>
    <row r="233" spans="1:3" x14ac:dyDescent="0.5">
      <c r="A233" t="s">
        <v>1258</v>
      </c>
      <c r="B233">
        <v>2</v>
      </c>
      <c r="C233" t="s">
        <v>1249</v>
      </c>
    </row>
    <row r="234" spans="1:3" x14ac:dyDescent="0.5">
      <c r="A234" t="s">
        <v>1037</v>
      </c>
      <c r="B234">
        <v>4</v>
      </c>
      <c r="C234" t="s">
        <v>1120</v>
      </c>
    </row>
    <row r="235" spans="1:3" x14ac:dyDescent="0.5">
      <c r="A235" t="s">
        <v>1259</v>
      </c>
      <c r="B235">
        <v>3</v>
      </c>
      <c r="C235" t="s">
        <v>1136</v>
      </c>
    </row>
    <row r="236" spans="1:3" x14ac:dyDescent="0.5">
      <c r="A236" t="s">
        <v>1260</v>
      </c>
      <c r="B236">
        <v>1</v>
      </c>
      <c r="C236" t="s">
        <v>1136</v>
      </c>
    </row>
    <row r="237" spans="1:3" x14ac:dyDescent="0.5">
      <c r="A237" t="s">
        <v>1015</v>
      </c>
      <c r="B237">
        <v>1</v>
      </c>
      <c r="C237" t="s">
        <v>1136</v>
      </c>
    </row>
    <row r="238" spans="1:3" x14ac:dyDescent="0.5">
      <c r="A238" t="s">
        <v>1025</v>
      </c>
      <c r="B238">
        <v>1</v>
      </c>
      <c r="C238" t="s">
        <v>1136</v>
      </c>
    </row>
    <row r="239" spans="1:3" x14ac:dyDescent="0.5">
      <c r="A239" t="s">
        <v>1261</v>
      </c>
      <c r="B239">
        <v>1</v>
      </c>
      <c r="C239" t="s">
        <v>1136</v>
      </c>
    </row>
    <row r="240" spans="1:3" x14ac:dyDescent="0.5">
      <c r="A240" t="s">
        <v>1023</v>
      </c>
      <c r="B240">
        <v>1</v>
      </c>
      <c r="C240" t="s">
        <v>1136</v>
      </c>
    </row>
    <row r="241" spans="1:3" x14ac:dyDescent="0.5">
      <c r="A241" t="s">
        <v>1013</v>
      </c>
      <c r="B241">
        <v>1</v>
      </c>
      <c r="C241" t="s">
        <v>1136</v>
      </c>
    </row>
    <row r="242" spans="1:3" x14ac:dyDescent="0.5">
      <c r="A242" t="s">
        <v>1027</v>
      </c>
      <c r="B242">
        <v>3</v>
      </c>
      <c r="C242" t="s">
        <v>1136</v>
      </c>
    </row>
    <row r="243" spans="1:3" x14ac:dyDescent="0.5">
      <c r="A243" t="s">
        <v>1022</v>
      </c>
      <c r="B243">
        <v>1</v>
      </c>
      <c r="C243" t="s">
        <v>1136</v>
      </c>
    </row>
    <row r="244" spans="1:3" x14ac:dyDescent="0.5">
      <c r="A244" t="s">
        <v>1026</v>
      </c>
      <c r="B244">
        <v>1</v>
      </c>
      <c r="C244" t="s">
        <v>1136</v>
      </c>
    </row>
    <row r="245" spans="1:3" x14ac:dyDescent="0.5">
      <c r="A245" t="s">
        <v>1020</v>
      </c>
      <c r="B245">
        <v>2</v>
      </c>
      <c r="C245" t="s">
        <v>1136</v>
      </c>
    </row>
    <row r="246" spans="1:3" x14ac:dyDescent="0.5">
      <c r="A246" t="s">
        <v>1018</v>
      </c>
      <c r="B246">
        <v>1</v>
      </c>
      <c r="C246" t="s">
        <v>1136</v>
      </c>
    </row>
    <row r="247" spans="1:3" x14ac:dyDescent="0.5">
      <c r="A247" t="s">
        <v>1024</v>
      </c>
      <c r="B247">
        <v>1</v>
      </c>
      <c r="C247" t="s">
        <v>1136</v>
      </c>
    </row>
    <row r="248" spans="1:3" x14ac:dyDescent="0.5">
      <c r="A248" t="s">
        <v>1262</v>
      </c>
      <c r="B248">
        <v>3</v>
      </c>
      <c r="C248" t="s">
        <v>1121</v>
      </c>
    </row>
    <row r="249" spans="1:3" x14ac:dyDescent="0.5">
      <c r="A249" t="s">
        <v>885</v>
      </c>
      <c r="B249">
        <v>1</v>
      </c>
      <c r="C249" t="s">
        <v>1121</v>
      </c>
    </row>
    <row r="250" spans="1:3" x14ac:dyDescent="0.5">
      <c r="A250" t="s">
        <v>882</v>
      </c>
      <c r="B250">
        <v>1</v>
      </c>
      <c r="C250" t="s">
        <v>1121</v>
      </c>
    </row>
    <row r="251" spans="1:3" x14ac:dyDescent="0.5">
      <c r="A251" t="s">
        <v>1263</v>
      </c>
      <c r="B251">
        <v>2</v>
      </c>
      <c r="C251" t="s">
        <v>1264</v>
      </c>
    </row>
    <row r="252" spans="1:3" x14ac:dyDescent="0.5">
      <c r="A252" t="s">
        <v>1265</v>
      </c>
      <c r="B252">
        <v>2</v>
      </c>
      <c r="C252" t="s">
        <v>1136</v>
      </c>
    </row>
    <row r="253" spans="1:3" x14ac:dyDescent="0.5">
      <c r="A253" t="s">
        <v>1266</v>
      </c>
      <c r="B253">
        <v>2</v>
      </c>
      <c r="C253" t="s">
        <v>1136</v>
      </c>
    </row>
    <row r="254" spans="1:3" x14ac:dyDescent="0.5">
      <c r="A254" t="s">
        <v>1267</v>
      </c>
      <c r="B254">
        <v>2</v>
      </c>
      <c r="C254" t="s">
        <v>1136</v>
      </c>
    </row>
    <row r="255" spans="1:3" x14ac:dyDescent="0.5">
      <c r="A255" t="s">
        <v>1268</v>
      </c>
      <c r="B255">
        <v>2</v>
      </c>
      <c r="C255" t="s">
        <v>1136</v>
      </c>
    </row>
    <row r="256" spans="1:3" x14ac:dyDescent="0.5">
      <c r="A256" t="s">
        <v>1269</v>
      </c>
      <c r="B256">
        <v>2</v>
      </c>
      <c r="C256" t="s">
        <v>1136</v>
      </c>
    </row>
    <row r="257" spans="1:3" x14ac:dyDescent="0.5">
      <c r="A257" t="s">
        <v>1270</v>
      </c>
      <c r="B257">
        <v>2</v>
      </c>
      <c r="C257" t="s">
        <v>1136</v>
      </c>
    </row>
    <row r="258" spans="1:3" x14ac:dyDescent="0.5">
      <c r="A258" t="s">
        <v>1271</v>
      </c>
      <c r="B258">
        <v>1</v>
      </c>
      <c r="C258" t="s">
        <v>1122</v>
      </c>
    </row>
    <row r="259" spans="1:3" x14ac:dyDescent="0.5">
      <c r="A259" t="s">
        <v>1272</v>
      </c>
      <c r="B259">
        <v>1</v>
      </c>
      <c r="C259" t="s">
        <v>1273</v>
      </c>
    </row>
    <row r="260" spans="1:3" x14ac:dyDescent="0.5">
      <c r="A260" t="s">
        <v>1274</v>
      </c>
      <c r="B260">
        <v>1</v>
      </c>
      <c r="C260" t="s">
        <v>1131</v>
      </c>
    </row>
    <row r="261" spans="1:3" x14ac:dyDescent="0.5">
      <c r="A261" t="s">
        <v>1275</v>
      </c>
      <c r="B261">
        <v>1</v>
      </c>
      <c r="C261" t="s">
        <v>1120</v>
      </c>
    </row>
    <row r="262" spans="1:3" x14ac:dyDescent="0.5">
      <c r="A262" t="s">
        <v>1276</v>
      </c>
      <c r="B262" t="s">
        <v>1119</v>
      </c>
      <c r="C262" t="s">
        <v>1114</v>
      </c>
    </row>
    <row r="263" spans="1:3" x14ac:dyDescent="0.5">
      <c r="A263" t="s">
        <v>1277</v>
      </c>
      <c r="B263">
        <v>1</v>
      </c>
      <c r="C263" t="s">
        <v>1278</v>
      </c>
    </row>
    <row r="264" spans="1:3" x14ac:dyDescent="0.5">
      <c r="A264" t="s">
        <v>1279</v>
      </c>
      <c r="B264">
        <v>1</v>
      </c>
      <c r="C264" t="s">
        <v>1121</v>
      </c>
    </row>
    <row r="265" spans="1:3" x14ac:dyDescent="0.5">
      <c r="A265" t="s">
        <v>315</v>
      </c>
      <c r="B265" t="s">
        <v>1146</v>
      </c>
      <c r="C265" t="s">
        <v>1120</v>
      </c>
    </row>
    <row r="266" spans="1:3" x14ac:dyDescent="0.5">
      <c r="A266" t="s">
        <v>1280</v>
      </c>
      <c r="B266">
        <v>4</v>
      </c>
      <c r="C266" t="s">
        <v>1150</v>
      </c>
    </row>
    <row r="267" spans="1:3" x14ac:dyDescent="0.5">
      <c r="A267" t="s">
        <v>1281</v>
      </c>
      <c r="B267">
        <v>3</v>
      </c>
      <c r="C267" t="s">
        <v>1150</v>
      </c>
    </row>
    <row r="268" spans="1:3" x14ac:dyDescent="0.5">
      <c r="A268" t="s">
        <v>1282</v>
      </c>
      <c r="B268">
        <v>1</v>
      </c>
      <c r="C268" t="s">
        <v>1147</v>
      </c>
    </row>
    <row r="269" spans="1:3" x14ac:dyDescent="0.5">
      <c r="A269" t="s">
        <v>1283</v>
      </c>
      <c r="B269">
        <v>4</v>
      </c>
      <c r="C269" t="s">
        <v>1139</v>
      </c>
    </row>
    <row r="270" spans="1:3" x14ac:dyDescent="0.5">
      <c r="A270" t="s">
        <v>879</v>
      </c>
      <c r="B270">
        <v>1</v>
      </c>
      <c r="C270" t="s">
        <v>1121</v>
      </c>
    </row>
    <row r="271" spans="1:3" x14ac:dyDescent="0.5">
      <c r="A271" t="s">
        <v>875</v>
      </c>
      <c r="B271">
        <v>1</v>
      </c>
      <c r="C271" t="s">
        <v>1121</v>
      </c>
    </row>
    <row r="272" spans="1:3" x14ac:dyDescent="0.5">
      <c r="A272" t="s">
        <v>1284</v>
      </c>
      <c r="B272">
        <v>2</v>
      </c>
      <c r="C272" t="s">
        <v>1249</v>
      </c>
    </row>
    <row r="273" spans="1:3" x14ac:dyDescent="0.5">
      <c r="A273" t="s">
        <v>1285</v>
      </c>
      <c r="B273">
        <v>3</v>
      </c>
      <c r="C273" t="s">
        <v>1121</v>
      </c>
    </row>
    <row r="274" spans="1:3" x14ac:dyDescent="0.5">
      <c r="A274" t="s">
        <v>1286</v>
      </c>
      <c r="B274">
        <v>3</v>
      </c>
      <c r="C274" t="s">
        <v>1177</v>
      </c>
    </row>
    <row r="275" spans="1:3" x14ac:dyDescent="0.5">
      <c r="A275" t="s">
        <v>1099</v>
      </c>
      <c r="B275">
        <v>1</v>
      </c>
      <c r="C275" t="s">
        <v>1159</v>
      </c>
    </row>
    <row r="276" spans="1:3" x14ac:dyDescent="0.5">
      <c r="A276" t="s">
        <v>1287</v>
      </c>
      <c r="B276">
        <v>3</v>
      </c>
      <c r="C276" t="s">
        <v>1134</v>
      </c>
    </row>
    <row r="277" spans="1:3" x14ac:dyDescent="0.5">
      <c r="A277" t="s">
        <v>1288</v>
      </c>
      <c r="B277">
        <v>2</v>
      </c>
      <c r="C277" t="s">
        <v>1121</v>
      </c>
    </row>
    <row r="278" spans="1:3" x14ac:dyDescent="0.5">
      <c r="A278" t="s">
        <v>1289</v>
      </c>
      <c r="B278">
        <v>1</v>
      </c>
      <c r="C278" t="s">
        <v>1217</v>
      </c>
    </row>
    <row r="279" spans="1:3" x14ac:dyDescent="0.5">
      <c r="A279" t="s">
        <v>1290</v>
      </c>
      <c r="B279">
        <v>3</v>
      </c>
      <c r="C279" t="s">
        <v>1134</v>
      </c>
    </row>
    <row r="280" spans="1:3" x14ac:dyDescent="0.5">
      <c r="A280" t="s">
        <v>1291</v>
      </c>
      <c r="B280" t="s">
        <v>1119</v>
      </c>
      <c r="C280" t="s">
        <v>1121</v>
      </c>
    </row>
    <row r="281" spans="1:3" x14ac:dyDescent="0.5">
      <c r="A281" t="s">
        <v>1292</v>
      </c>
      <c r="B281">
        <v>2</v>
      </c>
      <c r="C281" t="s">
        <v>1121</v>
      </c>
    </row>
    <row r="282" spans="1:3" x14ac:dyDescent="0.5">
      <c r="A282" t="s">
        <v>1293</v>
      </c>
      <c r="B282">
        <v>3</v>
      </c>
      <c r="C282" t="s">
        <v>1228</v>
      </c>
    </row>
    <row r="283" spans="1:3" x14ac:dyDescent="0.5">
      <c r="A283" t="s">
        <v>971</v>
      </c>
      <c r="B283">
        <v>1</v>
      </c>
      <c r="C283" t="s">
        <v>1131</v>
      </c>
    </row>
    <row r="284" spans="1:3" x14ac:dyDescent="0.5">
      <c r="A284" t="s">
        <v>727</v>
      </c>
      <c r="B284">
        <v>3</v>
      </c>
      <c r="C284" t="s">
        <v>1120</v>
      </c>
    </row>
    <row r="285" spans="1:3" x14ac:dyDescent="0.5">
      <c r="A285" t="s">
        <v>1294</v>
      </c>
      <c r="B285">
        <v>2</v>
      </c>
      <c r="C285" t="s">
        <v>1217</v>
      </c>
    </row>
    <row r="286" spans="1:3" x14ac:dyDescent="0.5">
      <c r="A286" t="s">
        <v>1295</v>
      </c>
      <c r="B286">
        <v>1</v>
      </c>
      <c r="C286" t="s">
        <v>1114</v>
      </c>
    </row>
    <row r="287" spans="1:3" x14ac:dyDescent="0.5">
      <c r="A287" t="s">
        <v>1296</v>
      </c>
      <c r="B287">
        <v>3</v>
      </c>
      <c r="C287" t="s">
        <v>1121</v>
      </c>
    </row>
    <row r="288" spans="1:3" x14ac:dyDescent="0.5">
      <c r="A288" t="s">
        <v>1045</v>
      </c>
      <c r="B288">
        <v>2</v>
      </c>
      <c r="C288" t="s">
        <v>1136</v>
      </c>
    </row>
    <row r="289" spans="1:3" x14ac:dyDescent="0.5">
      <c r="A289" t="s">
        <v>370</v>
      </c>
      <c r="B289">
        <v>4</v>
      </c>
      <c r="C289" t="s">
        <v>1127</v>
      </c>
    </row>
    <row r="290" spans="1:3" x14ac:dyDescent="0.5">
      <c r="A290" t="s">
        <v>994</v>
      </c>
      <c r="B290">
        <v>4</v>
      </c>
      <c r="C290" t="s">
        <v>1114</v>
      </c>
    </row>
    <row r="291" spans="1:3" x14ac:dyDescent="0.5">
      <c r="A291" t="s">
        <v>1297</v>
      </c>
      <c r="B291">
        <v>2</v>
      </c>
      <c r="C291" t="s">
        <v>1114</v>
      </c>
    </row>
    <row r="292" spans="1:3" x14ac:dyDescent="0.5">
      <c r="A292" t="s">
        <v>202</v>
      </c>
      <c r="B292">
        <v>4</v>
      </c>
      <c r="C292" t="s">
        <v>1136</v>
      </c>
    </row>
    <row r="293" spans="1:3" x14ac:dyDescent="0.5">
      <c r="A293" t="s">
        <v>1298</v>
      </c>
      <c r="B293">
        <v>1</v>
      </c>
      <c r="C293" t="s">
        <v>1121</v>
      </c>
    </row>
    <row r="294" spans="1:3" x14ac:dyDescent="0.5">
      <c r="A294" t="s">
        <v>593</v>
      </c>
      <c r="B294" t="s">
        <v>1119</v>
      </c>
      <c r="C294" t="s">
        <v>1150</v>
      </c>
    </row>
    <row r="295" spans="1:3" x14ac:dyDescent="0.5">
      <c r="A295" t="s">
        <v>1299</v>
      </c>
      <c r="B295">
        <v>1</v>
      </c>
      <c r="C295" t="s">
        <v>1218</v>
      </c>
    </row>
    <row r="296" spans="1:3" x14ac:dyDescent="0.5">
      <c r="A296" t="s">
        <v>1300</v>
      </c>
      <c r="B296">
        <v>1</v>
      </c>
      <c r="C296" t="s">
        <v>1218</v>
      </c>
    </row>
    <row r="297" spans="1:3" x14ac:dyDescent="0.5">
      <c r="A297" t="s">
        <v>1301</v>
      </c>
      <c r="B297">
        <v>1</v>
      </c>
      <c r="C297" t="s">
        <v>1159</v>
      </c>
    </row>
    <row r="298" spans="1:3" x14ac:dyDescent="0.5">
      <c r="A298" t="s">
        <v>47</v>
      </c>
      <c r="B298">
        <v>1</v>
      </c>
      <c r="C298" t="s">
        <v>1147</v>
      </c>
    </row>
    <row r="299" spans="1:3" x14ac:dyDescent="0.5">
      <c r="A299" t="s">
        <v>1302</v>
      </c>
      <c r="B299">
        <v>1</v>
      </c>
      <c r="C299" t="s">
        <v>1217</v>
      </c>
    </row>
    <row r="300" spans="1:3" x14ac:dyDescent="0.5">
      <c r="A300" t="s">
        <v>1303</v>
      </c>
      <c r="B300">
        <v>4</v>
      </c>
      <c r="C300" t="s">
        <v>1217</v>
      </c>
    </row>
    <row r="301" spans="1:3" x14ac:dyDescent="0.5">
      <c r="A301" t="s">
        <v>688</v>
      </c>
      <c r="B301">
        <v>3</v>
      </c>
      <c r="C301" t="s">
        <v>1136</v>
      </c>
    </row>
    <row r="302" spans="1:3" x14ac:dyDescent="0.5">
      <c r="A302" t="s">
        <v>1304</v>
      </c>
      <c r="B302">
        <v>1</v>
      </c>
      <c r="C302" t="s">
        <v>1120</v>
      </c>
    </row>
    <row r="303" spans="1:3" x14ac:dyDescent="0.5">
      <c r="A303" t="s">
        <v>1305</v>
      </c>
      <c r="B303" t="s">
        <v>1119</v>
      </c>
      <c r="C303" t="s">
        <v>1121</v>
      </c>
    </row>
    <row r="304" spans="1:3" x14ac:dyDescent="0.5">
      <c r="A304" t="s">
        <v>1306</v>
      </c>
      <c r="B304">
        <v>3</v>
      </c>
      <c r="C304" t="s">
        <v>1139</v>
      </c>
    </row>
    <row r="305" spans="1:3" x14ac:dyDescent="0.5">
      <c r="A305" t="s">
        <v>1307</v>
      </c>
      <c r="B305">
        <v>2</v>
      </c>
      <c r="C305" t="s">
        <v>1136</v>
      </c>
    </row>
    <row r="306" spans="1:3" x14ac:dyDescent="0.5">
      <c r="A306" t="s">
        <v>1308</v>
      </c>
      <c r="B306">
        <v>2</v>
      </c>
      <c r="C306" t="s">
        <v>1136</v>
      </c>
    </row>
    <row r="307" spans="1:3" x14ac:dyDescent="0.5">
      <c r="A307" t="s">
        <v>1309</v>
      </c>
      <c r="B307">
        <v>2</v>
      </c>
      <c r="C307" t="s">
        <v>1136</v>
      </c>
    </row>
    <row r="308" spans="1:3" x14ac:dyDescent="0.5">
      <c r="A308" t="s">
        <v>1310</v>
      </c>
      <c r="B308">
        <v>3</v>
      </c>
      <c r="C308" t="s">
        <v>1120</v>
      </c>
    </row>
    <row r="309" spans="1:3" x14ac:dyDescent="0.5">
      <c r="A309" t="s">
        <v>1311</v>
      </c>
      <c r="B309">
        <v>2</v>
      </c>
      <c r="C309" t="s">
        <v>1131</v>
      </c>
    </row>
    <row r="310" spans="1:3" x14ac:dyDescent="0.5">
      <c r="A310" t="s">
        <v>1312</v>
      </c>
      <c r="B310">
        <v>2</v>
      </c>
      <c r="C310" t="s">
        <v>1273</v>
      </c>
    </row>
    <row r="311" spans="1:3" x14ac:dyDescent="0.5">
      <c r="A311" t="s">
        <v>586</v>
      </c>
      <c r="B311">
        <v>2</v>
      </c>
      <c r="C311" t="s">
        <v>1273</v>
      </c>
    </row>
    <row r="312" spans="1:3" x14ac:dyDescent="0.5">
      <c r="A312" t="s">
        <v>1313</v>
      </c>
      <c r="B312">
        <v>1</v>
      </c>
      <c r="C312" t="s">
        <v>1121</v>
      </c>
    </row>
    <row r="313" spans="1:3" x14ac:dyDescent="0.5">
      <c r="A313" t="s">
        <v>1314</v>
      </c>
      <c r="B313">
        <v>3</v>
      </c>
      <c r="C313" t="s">
        <v>1114</v>
      </c>
    </row>
    <row r="314" spans="1:3" x14ac:dyDescent="0.5">
      <c r="A314" t="s">
        <v>1314</v>
      </c>
      <c r="B314">
        <v>3</v>
      </c>
      <c r="C314" t="s">
        <v>1114</v>
      </c>
    </row>
    <row r="315" spans="1:3" x14ac:dyDescent="0.5">
      <c r="A315" t="s">
        <v>1315</v>
      </c>
      <c r="B315">
        <v>2</v>
      </c>
      <c r="C315" t="s">
        <v>1217</v>
      </c>
    </row>
    <row r="316" spans="1:3" x14ac:dyDescent="0.5">
      <c r="A316" t="s">
        <v>1316</v>
      </c>
      <c r="B316">
        <v>2</v>
      </c>
      <c r="C316" t="s">
        <v>1217</v>
      </c>
    </row>
    <row r="317" spans="1:3" x14ac:dyDescent="0.5">
      <c r="A317" t="s">
        <v>1317</v>
      </c>
      <c r="B317">
        <v>2</v>
      </c>
      <c r="C317" t="s">
        <v>1121</v>
      </c>
    </row>
    <row r="318" spans="1:3" x14ac:dyDescent="0.5">
      <c r="A318" t="s">
        <v>1318</v>
      </c>
      <c r="B318">
        <v>3</v>
      </c>
      <c r="C318" t="s">
        <v>1143</v>
      </c>
    </row>
    <row r="319" spans="1:3" x14ac:dyDescent="0.5">
      <c r="A319" t="s">
        <v>361</v>
      </c>
      <c r="B319">
        <v>4</v>
      </c>
      <c r="C319" t="s">
        <v>1120</v>
      </c>
    </row>
    <row r="320" spans="1:3" x14ac:dyDescent="0.5">
      <c r="A320" t="s">
        <v>1319</v>
      </c>
      <c r="B320">
        <v>1</v>
      </c>
      <c r="C320" t="s">
        <v>1136</v>
      </c>
    </row>
    <row r="321" spans="1:3" x14ac:dyDescent="0.5">
      <c r="A321" t="s">
        <v>1320</v>
      </c>
      <c r="B321">
        <v>1</v>
      </c>
      <c r="C321" t="s">
        <v>1278</v>
      </c>
    </row>
    <row r="322" spans="1:3" x14ac:dyDescent="0.5">
      <c r="A322" t="s">
        <v>1321</v>
      </c>
      <c r="B322">
        <v>1</v>
      </c>
      <c r="C322" t="s">
        <v>1136</v>
      </c>
    </row>
    <row r="323" spans="1:3" x14ac:dyDescent="0.5">
      <c r="A323" t="s">
        <v>1322</v>
      </c>
      <c r="B323">
        <v>1</v>
      </c>
      <c r="C323" t="s">
        <v>1120</v>
      </c>
    </row>
    <row r="324" spans="1:3" x14ac:dyDescent="0.5">
      <c r="A324" t="s">
        <v>1323</v>
      </c>
      <c r="B324">
        <v>1</v>
      </c>
      <c r="C324" t="s">
        <v>1217</v>
      </c>
    </row>
    <row r="325" spans="1:3" x14ac:dyDescent="0.5">
      <c r="A325" t="s">
        <v>1324</v>
      </c>
      <c r="B325">
        <v>2</v>
      </c>
      <c r="C325" t="s">
        <v>1177</v>
      </c>
    </row>
    <row r="326" spans="1:3" x14ac:dyDescent="0.5">
      <c r="A326" t="s">
        <v>433</v>
      </c>
      <c r="B326">
        <v>2</v>
      </c>
      <c r="C326" t="s">
        <v>1244</v>
      </c>
    </row>
    <row r="327" spans="1:3" x14ac:dyDescent="0.5">
      <c r="A327" t="s">
        <v>1325</v>
      </c>
      <c r="B327">
        <v>1</v>
      </c>
      <c r="C327" t="s">
        <v>1126</v>
      </c>
    </row>
    <row r="328" spans="1:3" x14ac:dyDescent="0.5">
      <c r="A328" t="s">
        <v>1326</v>
      </c>
      <c r="B328">
        <v>3</v>
      </c>
      <c r="C328" t="s">
        <v>1217</v>
      </c>
    </row>
    <row r="329" spans="1:3" x14ac:dyDescent="0.5">
      <c r="A329" t="s">
        <v>1327</v>
      </c>
      <c r="B329">
        <v>2</v>
      </c>
      <c r="C329" t="s">
        <v>1117</v>
      </c>
    </row>
    <row r="330" spans="1:3" x14ac:dyDescent="0.5">
      <c r="A330" t="s">
        <v>1328</v>
      </c>
      <c r="B330">
        <v>1</v>
      </c>
      <c r="C330" t="s">
        <v>1141</v>
      </c>
    </row>
    <row r="331" spans="1:3" x14ac:dyDescent="0.5">
      <c r="A331" t="s">
        <v>1329</v>
      </c>
      <c r="B331">
        <v>1</v>
      </c>
      <c r="C331" t="s">
        <v>1126</v>
      </c>
    </row>
    <row r="332" spans="1:3" x14ac:dyDescent="0.5">
      <c r="A332" t="s">
        <v>1330</v>
      </c>
      <c r="B332">
        <v>1</v>
      </c>
      <c r="C332" t="s">
        <v>1126</v>
      </c>
    </row>
    <row r="333" spans="1:3" x14ac:dyDescent="0.5">
      <c r="A333" t="s">
        <v>1331</v>
      </c>
      <c r="B333">
        <v>1</v>
      </c>
      <c r="C333" t="s">
        <v>1126</v>
      </c>
    </row>
    <row r="334" spans="1:3" x14ac:dyDescent="0.5">
      <c r="A334" t="s">
        <v>1332</v>
      </c>
      <c r="B334">
        <v>2</v>
      </c>
      <c r="C334" t="s">
        <v>1126</v>
      </c>
    </row>
    <row r="335" spans="1:3" x14ac:dyDescent="0.5">
      <c r="A335" t="s">
        <v>1333</v>
      </c>
      <c r="B335" t="s">
        <v>1119</v>
      </c>
      <c r="C335" t="s">
        <v>1125</v>
      </c>
    </row>
    <row r="336" spans="1:3" x14ac:dyDescent="0.5">
      <c r="A336" t="s">
        <v>1334</v>
      </c>
      <c r="B336">
        <v>2</v>
      </c>
      <c r="C336" t="s">
        <v>1126</v>
      </c>
    </row>
    <row r="337" spans="1:3" x14ac:dyDescent="0.5">
      <c r="A337" t="s">
        <v>1335</v>
      </c>
      <c r="B337">
        <v>3</v>
      </c>
      <c r="C337" t="s">
        <v>1136</v>
      </c>
    </row>
    <row r="338" spans="1:3" x14ac:dyDescent="0.5">
      <c r="A338" t="s">
        <v>1336</v>
      </c>
      <c r="B338" t="s">
        <v>1119</v>
      </c>
      <c r="C338" t="s">
        <v>1136</v>
      </c>
    </row>
    <row r="339" spans="1:3" x14ac:dyDescent="0.5">
      <c r="A339" t="s">
        <v>1337</v>
      </c>
      <c r="B339">
        <v>2</v>
      </c>
      <c r="C339" t="s">
        <v>1114</v>
      </c>
    </row>
    <row r="340" spans="1:3" x14ac:dyDescent="0.5">
      <c r="A340" t="s">
        <v>1338</v>
      </c>
      <c r="B340" t="s">
        <v>1146</v>
      </c>
      <c r="C340" t="s">
        <v>1264</v>
      </c>
    </row>
    <row r="341" spans="1:3" x14ac:dyDescent="0.5">
      <c r="A341" t="s">
        <v>1339</v>
      </c>
      <c r="B341">
        <v>2</v>
      </c>
      <c r="C341" t="s">
        <v>1136</v>
      </c>
    </row>
    <row r="342" spans="1:3" x14ac:dyDescent="0.5">
      <c r="A342" t="s">
        <v>1340</v>
      </c>
      <c r="B342">
        <v>1</v>
      </c>
      <c r="C342" t="s">
        <v>1341</v>
      </c>
    </row>
    <row r="343" spans="1:3" x14ac:dyDescent="0.5">
      <c r="A343" t="s">
        <v>1342</v>
      </c>
      <c r="B343">
        <v>1</v>
      </c>
      <c r="C343" t="s">
        <v>1341</v>
      </c>
    </row>
    <row r="344" spans="1:3" x14ac:dyDescent="0.5">
      <c r="A344" t="s">
        <v>1343</v>
      </c>
      <c r="B344">
        <v>1</v>
      </c>
      <c r="C344" t="s">
        <v>1341</v>
      </c>
    </row>
    <row r="345" spans="1:3" x14ac:dyDescent="0.5">
      <c r="A345" t="s">
        <v>1344</v>
      </c>
      <c r="B345">
        <v>3</v>
      </c>
      <c r="C345" t="s">
        <v>1121</v>
      </c>
    </row>
    <row r="346" spans="1:3" x14ac:dyDescent="0.5">
      <c r="A346" t="s">
        <v>1345</v>
      </c>
      <c r="B346">
        <v>3</v>
      </c>
      <c r="C346" t="s">
        <v>1136</v>
      </c>
    </row>
    <row r="347" spans="1:3" x14ac:dyDescent="0.5">
      <c r="A347" t="s">
        <v>696</v>
      </c>
      <c r="B347">
        <v>2</v>
      </c>
      <c r="C347" t="s">
        <v>1147</v>
      </c>
    </row>
    <row r="348" spans="1:3" x14ac:dyDescent="0.5">
      <c r="A348" t="s">
        <v>1346</v>
      </c>
      <c r="B348">
        <v>3</v>
      </c>
      <c r="C348" t="s">
        <v>1143</v>
      </c>
    </row>
    <row r="349" spans="1:3" x14ac:dyDescent="0.5">
      <c r="A349" t="s">
        <v>1347</v>
      </c>
      <c r="B349">
        <v>4</v>
      </c>
      <c r="C349" t="s">
        <v>1159</v>
      </c>
    </row>
    <row r="350" spans="1:3" x14ac:dyDescent="0.5">
      <c r="A350" t="s">
        <v>1348</v>
      </c>
      <c r="B350">
        <v>1</v>
      </c>
      <c r="C350" t="s">
        <v>1341</v>
      </c>
    </row>
    <row r="351" spans="1:3" x14ac:dyDescent="0.5">
      <c r="A351" t="s">
        <v>1349</v>
      </c>
      <c r="B351">
        <v>2</v>
      </c>
      <c r="C351" t="s">
        <v>1341</v>
      </c>
    </row>
    <row r="352" spans="1:3" x14ac:dyDescent="0.5">
      <c r="A352" t="s">
        <v>1350</v>
      </c>
      <c r="B352">
        <v>2</v>
      </c>
      <c r="C352" t="s">
        <v>1341</v>
      </c>
    </row>
    <row r="353" spans="1:3" x14ac:dyDescent="0.5">
      <c r="A353" t="s">
        <v>1351</v>
      </c>
      <c r="B353">
        <v>2</v>
      </c>
      <c r="C353" t="s">
        <v>1341</v>
      </c>
    </row>
    <row r="354" spans="1:3" x14ac:dyDescent="0.5">
      <c r="A354" t="s">
        <v>1352</v>
      </c>
      <c r="B354" t="s">
        <v>1146</v>
      </c>
      <c r="C354" t="s">
        <v>1159</v>
      </c>
    </row>
    <row r="355" spans="1:3" x14ac:dyDescent="0.5">
      <c r="A355" t="s">
        <v>789</v>
      </c>
      <c r="B355">
        <v>2</v>
      </c>
      <c r="C355" t="s">
        <v>1131</v>
      </c>
    </row>
    <row r="356" spans="1:3" x14ac:dyDescent="0.5">
      <c r="A356" t="s">
        <v>791</v>
      </c>
      <c r="B356">
        <v>2</v>
      </c>
      <c r="C356" t="s">
        <v>1131</v>
      </c>
    </row>
    <row r="357" spans="1:3" x14ac:dyDescent="0.5">
      <c r="A357" t="s">
        <v>788</v>
      </c>
      <c r="B357">
        <v>2</v>
      </c>
      <c r="C357" t="s">
        <v>1131</v>
      </c>
    </row>
    <row r="358" spans="1:3" x14ac:dyDescent="0.5">
      <c r="A358" t="s">
        <v>1353</v>
      </c>
      <c r="B358">
        <v>2</v>
      </c>
      <c r="C358" t="s">
        <v>1341</v>
      </c>
    </row>
    <row r="359" spans="1:3" x14ac:dyDescent="0.5">
      <c r="A359" t="s">
        <v>1354</v>
      </c>
      <c r="B359" t="s">
        <v>1119</v>
      </c>
      <c r="C359" t="s">
        <v>1121</v>
      </c>
    </row>
    <row r="360" spans="1:3" x14ac:dyDescent="0.5">
      <c r="A360" t="s">
        <v>1355</v>
      </c>
      <c r="B360">
        <v>2</v>
      </c>
      <c r="C360" t="s">
        <v>1136</v>
      </c>
    </row>
    <row r="361" spans="1:3" x14ac:dyDescent="0.5">
      <c r="A361" t="s">
        <v>1356</v>
      </c>
      <c r="B361">
        <v>2</v>
      </c>
      <c r="C361" t="s">
        <v>1126</v>
      </c>
    </row>
    <row r="362" spans="1:3" x14ac:dyDescent="0.5">
      <c r="A362" t="s">
        <v>1357</v>
      </c>
      <c r="B362">
        <v>2</v>
      </c>
      <c r="C362" t="s">
        <v>1131</v>
      </c>
    </row>
    <row r="363" spans="1:3" x14ac:dyDescent="0.5">
      <c r="A363" t="s">
        <v>1358</v>
      </c>
      <c r="B363" t="s">
        <v>1119</v>
      </c>
      <c r="C363" t="s">
        <v>1121</v>
      </c>
    </row>
    <row r="364" spans="1:3" x14ac:dyDescent="0.5">
      <c r="A364" t="s">
        <v>1359</v>
      </c>
      <c r="B364">
        <v>1</v>
      </c>
      <c r="C364" t="s">
        <v>1217</v>
      </c>
    </row>
    <row r="365" spans="1:3" x14ac:dyDescent="0.5">
      <c r="A365" t="s">
        <v>1360</v>
      </c>
      <c r="B365">
        <v>2</v>
      </c>
      <c r="C365" t="s">
        <v>1217</v>
      </c>
    </row>
    <row r="366" spans="1:3" x14ac:dyDescent="0.5">
      <c r="A366" t="s">
        <v>1361</v>
      </c>
      <c r="B366">
        <v>3</v>
      </c>
      <c r="C366" t="s">
        <v>1264</v>
      </c>
    </row>
    <row r="367" spans="1:3" x14ac:dyDescent="0.5">
      <c r="A367" t="s">
        <v>1362</v>
      </c>
      <c r="B367">
        <v>2</v>
      </c>
      <c r="C367" t="s">
        <v>1121</v>
      </c>
    </row>
    <row r="368" spans="1:3" x14ac:dyDescent="0.5">
      <c r="A368" t="s">
        <v>1363</v>
      </c>
      <c r="B368">
        <v>2</v>
      </c>
      <c r="C368" t="s">
        <v>1147</v>
      </c>
    </row>
    <row r="369" spans="1:3" x14ac:dyDescent="0.5">
      <c r="A369" t="s">
        <v>1364</v>
      </c>
      <c r="B369">
        <v>3</v>
      </c>
      <c r="C369" t="s">
        <v>1136</v>
      </c>
    </row>
    <row r="370" spans="1:3" x14ac:dyDescent="0.5">
      <c r="A370" t="s">
        <v>1365</v>
      </c>
      <c r="B370" t="s">
        <v>1119</v>
      </c>
      <c r="C370" t="s">
        <v>1121</v>
      </c>
    </row>
    <row r="371" spans="1:3" x14ac:dyDescent="0.5">
      <c r="A371" t="s">
        <v>1366</v>
      </c>
      <c r="B371">
        <v>3</v>
      </c>
      <c r="C371" t="s">
        <v>1121</v>
      </c>
    </row>
    <row r="372" spans="1:3" x14ac:dyDescent="0.5">
      <c r="A372" t="s">
        <v>1367</v>
      </c>
      <c r="B372">
        <v>2</v>
      </c>
      <c r="C372" t="s">
        <v>1177</v>
      </c>
    </row>
    <row r="373" spans="1:3" x14ac:dyDescent="0.5">
      <c r="A373" t="s">
        <v>1368</v>
      </c>
      <c r="B373">
        <v>3</v>
      </c>
      <c r="C373" t="s">
        <v>1177</v>
      </c>
    </row>
    <row r="374" spans="1:3" x14ac:dyDescent="0.5">
      <c r="A374" t="s">
        <v>1369</v>
      </c>
      <c r="B374">
        <v>3</v>
      </c>
      <c r="C374" t="s">
        <v>1177</v>
      </c>
    </row>
    <row r="375" spans="1:3" x14ac:dyDescent="0.5">
      <c r="A375" t="s">
        <v>1370</v>
      </c>
      <c r="B375">
        <v>2</v>
      </c>
      <c r="C375" t="s">
        <v>1177</v>
      </c>
    </row>
    <row r="376" spans="1:3" x14ac:dyDescent="0.5">
      <c r="A376" t="s">
        <v>563</v>
      </c>
      <c r="B376">
        <v>3</v>
      </c>
      <c r="C376" t="s">
        <v>1140</v>
      </c>
    </row>
    <row r="377" spans="1:3" x14ac:dyDescent="0.5">
      <c r="A377" t="s">
        <v>1371</v>
      </c>
      <c r="B377">
        <v>2</v>
      </c>
      <c r="C377" t="s">
        <v>1120</v>
      </c>
    </row>
    <row r="378" spans="1:3" x14ac:dyDescent="0.5">
      <c r="A378" t="s">
        <v>1372</v>
      </c>
      <c r="B378">
        <v>3</v>
      </c>
      <c r="C378" t="s">
        <v>1120</v>
      </c>
    </row>
    <row r="379" spans="1:3" x14ac:dyDescent="0.5">
      <c r="A379" t="s">
        <v>1373</v>
      </c>
      <c r="B379">
        <v>2</v>
      </c>
      <c r="C379" t="s">
        <v>1120</v>
      </c>
    </row>
    <row r="380" spans="1:3" x14ac:dyDescent="0.5">
      <c r="A380" t="s">
        <v>1374</v>
      </c>
      <c r="B380">
        <v>2</v>
      </c>
      <c r="C380" t="s">
        <v>1142</v>
      </c>
    </row>
    <row r="381" spans="1:3" x14ac:dyDescent="0.5">
      <c r="A381" t="s">
        <v>280</v>
      </c>
      <c r="B381">
        <v>1</v>
      </c>
      <c r="C381" t="s">
        <v>1136</v>
      </c>
    </row>
    <row r="382" spans="1:3" x14ac:dyDescent="0.5">
      <c r="A382" t="s">
        <v>1375</v>
      </c>
      <c r="B382">
        <v>1</v>
      </c>
      <c r="C382" t="s">
        <v>1136</v>
      </c>
    </row>
    <row r="383" spans="1:3" x14ac:dyDescent="0.5">
      <c r="A383" t="s">
        <v>297</v>
      </c>
      <c r="B383">
        <v>1</v>
      </c>
      <c r="C383" t="s">
        <v>1136</v>
      </c>
    </row>
    <row r="384" spans="1:3" x14ac:dyDescent="0.5">
      <c r="A384" t="s">
        <v>304</v>
      </c>
      <c r="B384">
        <v>1</v>
      </c>
      <c r="C384" t="s">
        <v>1136</v>
      </c>
    </row>
    <row r="385" spans="1:3" x14ac:dyDescent="0.5">
      <c r="A385" t="s">
        <v>1376</v>
      </c>
      <c r="B385">
        <v>2</v>
      </c>
      <c r="C385" t="s">
        <v>1117</v>
      </c>
    </row>
    <row r="386" spans="1:3" x14ac:dyDescent="0.5">
      <c r="A386" t="s">
        <v>1377</v>
      </c>
      <c r="B386">
        <v>2</v>
      </c>
      <c r="C386" t="s">
        <v>1136</v>
      </c>
    </row>
    <row r="387" spans="1:3" x14ac:dyDescent="0.5">
      <c r="A387" t="s">
        <v>1378</v>
      </c>
      <c r="B387">
        <v>1</v>
      </c>
      <c r="C387" t="s">
        <v>1136</v>
      </c>
    </row>
    <row r="388" spans="1:3" x14ac:dyDescent="0.5">
      <c r="A388" t="s">
        <v>1379</v>
      </c>
      <c r="B388">
        <v>2</v>
      </c>
      <c r="C388" t="s">
        <v>1136</v>
      </c>
    </row>
    <row r="389" spans="1:3" x14ac:dyDescent="0.5">
      <c r="A389" t="s">
        <v>1380</v>
      </c>
      <c r="B389">
        <v>1</v>
      </c>
      <c r="C389" t="s">
        <v>1136</v>
      </c>
    </row>
    <row r="390" spans="1:3" x14ac:dyDescent="0.5">
      <c r="A390" t="s">
        <v>1381</v>
      </c>
      <c r="B390">
        <v>2</v>
      </c>
      <c r="C390" t="s">
        <v>1273</v>
      </c>
    </row>
    <row r="391" spans="1:3" x14ac:dyDescent="0.5">
      <c r="A391" t="s">
        <v>1382</v>
      </c>
      <c r="B391">
        <v>1</v>
      </c>
      <c r="C391" t="s">
        <v>1273</v>
      </c>
    </row>
    <row r="392" spans="1:3" x14ac:dyDescent="0.5">
      <c r="A392" t="s">
        <v>1383</v>
      </c>
      <c r="B392">
        <v>2</v>
      </c>
      <c r="C392" t="s">
        <v>1142</v>
      </c>
    </row>
    <row r="393" spans="1:3" x14ac:dyDescent="0.5">
      <c r="A393" t="s">
        <v>1384</v>
      </c>
      <c r="B393">
        <v>2</v>
      </c>
      <c r="C393" t="s">
        <v>1142</v>
      </c>
    </row>
    <row r="394" spans="1:3" x14ac:dyDescent="0.5">
      <c r="A394" t="s">
        <v>1385</v>
      </c>
      <c r="B394">
        <v>2</v>
      </c>
      <c r="C394" t="s">
        <v>1142</v>
      </c>
    </row>
    <row r="395" spans="1:3" x14ac:dyDescent="0.5">
      <c r="A395" t="s">
        <v>1386</v>
      </c>
      <c r="B395">
        <v>3</v>
      </c>
      <c r="C395" t="s">
        <v>1142</v>
      </c>
    </row>
    <row r="396" spans="1:3" x14ac:dyDescent="0.5">
      <c r="A396" t="s">
        <v>1387</v>
      </c>
      <c r="B396">
        <v>2</v>
      </c>
      <c r="C396" t="s">
        <v>1114</v>
      </c>
    </row>
    <row r="397" spans="1:3" x14ac:dyDescent="0.5">
      <c r="A397" t="s">
        <v>1388</v>
      </c>
      <c r="B397">
        <v>2</v>
      </c>
      <c r="C397" t="s">
        <v>1114</v>
      </c>
    </row>
    <row r="398" spans="1:3" x14ac:dyDescent="0.5">
      <c r="A398" t="s">
        <v>1389</v>
      </c>
      <c r="B398">
        <v>2</v>
      </c>
      <c r="C398" t="s">
        <v>1136</v>
      </c>
    </row>
    <row r="399" spans="1:3" x14ac:dyDescent="0.5">
      <c r="A399" t="s">
        <v>737</v>
      </c>
      <c r="B399" t="s">
        <v>1119</v>
      </c>
      <c r="C399" t="s">
        <v>1125</v>
      </c>
    </row>
    <row r="400" spans="1:3" x14ac:dyDescent="0.5">
      <c r="A400" t="s">
        <v>1390</v>
      </c>
      <c r="B400">
        <v>2</v>
      </c>
      <c r="C400" t="s">
        <v>1131</v>
      </c>
    </row>
    <row r="401" spans="1:3" x14ac:dyDescent="0.5">
      <c r="A401" t="s">
        <v>1391</v>
      </c>
      <c r="B401" t="s">
        <v>1119</v>
      </c>
      <c r="C401" t="s">
        <v>1121</v>
      </c>
    </row>
    <row r="402" spans="1:3" x14ac:dyDescent="0.5">
      <c r="A402" t="s">
        <v>1392</v>
      </c>
      <c r="B402">
        <v>1</v>
      </c>
      <c r="C402" t="s">
        <v>1121</v>
      </c>
    </row>
    <row r="403" spans="1:3" x14ac:dyDescent="0.5">
      <c r="A403" t="s">
        <v>1393</v>
      </c>
      <c r="B403">
        <v>1</v>
      </c>
      <c r="C403" t="s">
        <v>1121</v>
      </c>
    </row>
    <row r="404" spans="1:3" x14ac:dyDescent="0.5">
      <c r="A404" t="s">
        <v>1394</v>
      </c>
      <c r="B404">
        <v>1</v>
      </c>
      <c r="C404" t="s">
        <v>1121</v>
      </c>
    </row>
    <row r="405" spans="1:3" x14ac:dyDescent="0.5">
      <c r="A405" t="s">
        <v>1395</v>
      </c>
      <c r="B405" t="s">
        <v>1119</v>
      </c>
      <c r="C405" t="s">
        <v>1121</v>
      </c>
    </row>
    <row r="406" spans="1:3" x14ac:dyDescent="0.5">
      <c r="A406" t="s">
        <v>1396</v>
      </c>
      <c r="B406">
        <v>1</v>
      </c>
      <c r="C406" t="s">
        <v>1147</v>
      </c>
    </row>
    <row r="407" spans="1:3" x14ac:dyDescent="0.5">
      <c r="A407" t="s">
        <v>1397</v>
      </c>
      <c r="B407">
        <v>2</v>
      </c>
      <c r="C407" t="s">
        <v>1136</v>
      </c>
    </row>
    <row r="408" spans="1:3" x14ac:dyDescent="0.5">
      <c r="A408" t="s">
        <v>1398</v>
      </c>
      <c r="B408">
        <v>3</v>
      </c>
      <c r="C408" t="s">
        <v>1136</v>
      </c>
    </row>
    <row r="409" spans="1:3" x14ac:dyDescent="0.5">
      <c r="A409" t="s">
        <v>1399</v>
      </c>
      <c r="B409">
        <v>3</v>
      </c>
      <c r="C409" t="s">
        <v>1136</v>
      </c>
    </row>
    <row r="410" spans="1:3" x14ac:dyDescent="0.5">
      <c r="A410" t="s">
        <v>1400</v>
      </c>
      <c r="B410">
        <v>2</v>
      </c>
      <c r="C410" t="s">
        <v>1121</v>
      </c>
    </row>
    <row r="411" spans="1:3" x14ac:dyDescent="0.5">
      <c r="A411" t="s">
        <v>1401</v>
      </c>
      <c r="B411">
        <v>1</v>
      </c>
      <c r="C411" t="s">
        <v>1126</v>
      </c>
    </row>
    <row r="412" spans="1:3" x14ac:dyDescent="0.5">
      <c r="A412" t="s">
        <v>1402</v>
      </c>
      <c r="B412">
        <v>1</v>
      </c>
      <c r="C412" t="s">
        <v>1121</v>
      </c>
    </row>
    <row r="413" spans="1:3" x14ac:dyDescent="0.5">
      <c r="A413" t="s">
        <v>782</v>
      </c>
      <c r="B413">
        <v>1</v>
      </c>
      <c r="C413" t="s">
        <v>1121</v>
      </c>
    </row>
    <row r="414" spans="1:3" x14ac:dyDescent="0.5">
      <c r="A414" t="s">
        <v>1403</v>
      </c>
      <c r="B414">
        <v>2</v>
      </c>
      <c r="C414" t="s">
        <v>1121</v>
      </c>
    </row>
    <row r="415" spans="1:3" x14ac:dyDescent="0.5">
      <c r="A415" t="s">
        <v>826</v>
      </c>
      <c r="B415">
        <v>1</v>
      </c>
      <c r="C415" t="s">
        <v>1121</v>
      </c>
    </row>
    <row r="416" spans="1:3" x14ac:dyDescent="0.5">
      <c r="A416" t="s">
        <v>824</v>
      </c>
      <c r="B416">
        <v>2</v>
      </c>
      <c r="C416" t="s">
        <v>1121</v>
      </c>
    </row>
    <row r="417" spans="1:3" x14ac:dyDescent="0.5">
      <c r="A417" t="s">
        <v>822</v>
      </c>
      <c r="B417">
        <v>2</v>
      </c>
      <c r="C417" t="s">
        <v>1121</v>
      </c>
    </row>
    <row r="418" spans="1:3" x14ac:dyDescent="0.5">
      <c r="A418" t="s">
        <v>818</v>
      </c>
      <c r="B418">
        <v>2</v>
      </c>
      <c r="C418" t="s">
        <v>1121</v>
      </c>
    </row>
    <row r="419" spans="1:3" x14ac:dyDescent="0.5">
      <c r="A419" t="s">
        <v>764</v>
      </c>
      <c r="B419">
        <v>1</v>
      </c>
      <c r="C419" t="s">
        <v>1121</v>
      </c>
    </row>
    <row r="420" spans="1:3" x14ac:dyDescent="0.5">
      <c r="A420" t="s">
        <v>1404</v>
      </c>
      <c r="B420" t="s">
        <v>1146</v>
      </c>
      <c r="C420" t="s">
        <v>1121</v>
      </c>
    </row>
    <row r="421" spans="1:3" x14ac:dyDescent="0.5">
      <c r="A421" t="s">
        <v>1405</v>
      </c>
      <c r="B421">
        <v>1</v>
      </c>
      <c r="C421" t="s">
        <v>1217</v>
      </c>
    </row>
    <row r="422" spans="1:3" x14ac:dyDescent="0.5">
      <c r="A422" t="s">
        <v>1406</v>
      </c>
      <c r="B422">
        <v>1</v>
      </c>
      <c r="C422" t="s">
        <v>1121</v>
      </c>
    </row>
    <row r="423" spans="1:3" x14ac:dyDescent="0.5">
      <c r="A423" t="s">
        <v>1407</v>
      </c>
      <c r="B423">
        <v>2</v>
      </c>
      <c r="C423" t="s">
        <v>1142</v>
      </c>
    </row>
    <row r="424" spans="1:3" x14ac:dyDescent="0.5">
      <c r="A424" t="s">
        <v>1408</v>
      </c>
      <c r="B424">
        <v>1</v>
      </c>
      <c r="C424" t="s">
        <v>1125</v>
      </c>
    </row>
    <row r="425" spans="1:3" x14ac:dyDescent="0.5">
      <c r="A425" t="s">
        <v>1409</v>
      </c>
      <c r="B425">
        <v>1</v>
      </c>
      <c r="C425" t="s">
        <v>1121</v>
      </c>
    </row>
    <row r="426" spans="1:3" x14ac:dyDescent="0.5">
      <c r="A426" t="s">
        <v>1410</v>
      </c>
      <c r="B426">
        <v>3</v>
      </c>
      <c r="C426" t="s">
        <v>1217</v>
      </c>
    </row>
    <row r="427" spans="1:3" x14ac:dyDescent="0.5">
      <c r="A427" t="s">
        <v>1410</v>
      </c>
      <c r="B427" t="s">
        <v>1119</v>
      </c>
      <c r="C427" t="s">
        <v>1217</v>
      </c>
    </row>
    <row r="428" spans="1:3" x14ac:dyDescent="0.5">
      <c r="A428" t="s">
        <v>1094</v>
      </c>
      <c r="B428">
        <v>1</v>
      </c>
      <c r="C428" t="s">
        <v>1125</v>
      </c>
    </row>
    <row r="429" spans="1:3" x14ac:dyDescent="0.5">
      <c r="A429" t="s">
        <v>1411</v>
      </c>
      <c r="B429">
        <v>2</v>
      </c>
      <c r="C429" t="s">
        <v>1136</v>
      </c>
    </row>
    <row r="430" spans="1:3" x14ac:dyDescent="0.5">
      <c r="A430" t="s">
        <v>1412</v>
      </c>
      <c r="B430">
        <v>2</v>
      </c>
      <c r="C430" t="s">
        <v>1273</v>
      </c>
    </row>
    <row r="431" spans="1:3" x14ac:dyDescent="0.5">
      <c r="A431" t="s">
        <v>1413</v>
      </c>
      <c r="B431">
        <v>1</v>
      </c>
      <c r="C431" t="s">
        <v>1139</v>
      </c>
    </row>
    <row r="432" spans="1:3" x14ac:dyDescent="0.5">
      <c r="A432" t="s">
        <v>618</v>
      </c>
      <c r="B432" t="s">
        <v>1119</v>
      </c>
      <c r="C432" t="s">
        <v>1122</v>
      </c>
    </row>
    <row r="433" spans="1:3" x14ac:dyDescent="0.5">
      <c r="A433" t="s">
        <v>1414</v>
      </c>
      <c r="B433">
        <v>1</v>
      </c>
      <c r="C433" t="s">
        <v>1121</v>
      </c>
    </row>
    <row r="434" spans="1:3" x14ac:dyDescent="0.5">
      <c r="A434" t="s">
        <v>52</v>
      </c>
      <c r="B434">
        <v>1</v>
      </c>
      <c r="C434" t="s">
        <v>1273</v>
      </c>
    </row>
    <row r="435" spans="1:3" x14ac:dyDescent="0.5">
      <c r="A435" t="s">
        <v>1415</v>
      </c>
      <c r="B435">
        <v>2</v>
      </c>
      <c r="C435" t="s">
        <v>1177</v>
      </c>
    </row>
    <row r="436" spans="1:3" x14ac:dyDescent="0.5">
      <c r="A436" t="s">
        <v>1416</v>
      </c>
      <c r="B436">
        <v>1</v>
      </c>
      <c r="C436" t="s">
        <v>1121</v>
      </c>
    </row>
    <row r="437" spans="1:3" x14ac:dyDescent="0.5">
      <c r="A437" t="s">
        <v>919</v>
      </c>
      <c r="B437">
        <v>1</v>
      </c>
      <c r="C437" t="s">
        <v>1121</v>
      </c>
    </row>
    <row r="438" spans="1:3" x14ac:dyDescent="0.5">
      <c r="A438" t="s">
        <v>358</v>
      </c>
      <c r="B438">
        <v>2</v>
      </c>
      <c r="C438" t="s">
        <v>1278</v>
      </c>
    </row>
    <row r="439" spans="1:3" x14ac:dyDescent="0.5">
      <c r="A439" t="s">
        <v>1417</v>
      </c>
      <c r="B439">
        <v>1</v>
      </c>
      <c r="C439" t="s">
        <v>1278</v>
      </c>
    </row>
    <row r="440" spans="1:3" x14ac:dyDescent="0.5">
      <c r="A440" t="s">
        <v>211</v>
      </c>
      <c r="B440">
        <v>3</v>
      </c>
      <c r="C440" t="s">
        <v>1120</v>
      </c>
    </row>
    <row r="441" spans="1:3" x14ac:dyDescent="0.5">
      <c r="A441" t="s">
        <v>1418</v>
      </c>
      <c r="B441">
        <v>3</v>
      </c>
      <c r="C441" t="s">
        <v>1121</v>
      </c>
    </row>
    <row r="442" spans="1:3" x14ac:dyDescent="0.5">
      <c r="A442" t="s">
        <v>1419</v>
      </c>
      <c r="B442" t="s">
        <v>1119</v>
      </c>
      <c r="C442" t="s">
        <v>1121</v>
      </c>
    </row>
    <row r="443" spans="1:3" x14ac:dyDescent="0.5">
      <c r="A443" t="s">
        <v>981</v>
      </c>
      <c r="B443">
        <v>2</v>
      </c>
      <c r="C443" t="s">
        <v>1121</v>
      </c>
    </row>
    <row r="444" spans="1:3" x14ac:dyDescent="0.5">
      <c r="A444" t="s">
        <v>860</v>
      </c>
      <c r="B444">
        <v>1</v>
      </c>
      <c r="C444" t="s">
        <v>1121</v>
      </c>
    </row>
    <row r="445" spans="1:3" x14ac:dyDescent="0.5">
      <c r="A445" t="s">
        <v>1420</v>
      </c>
      <c r="B445">
        <v>2</v>
      </c>
      <c r="C445" t="s">
        <v>1278</v>
      </c>
    </row>
    <row r="446" spans="1:3" x14ac:dyDescent="0.5">
      <c r="A446" t="s">
        <v>1421</v>
      </c>
      <c r="B446">
        <v>1</v>
      </c>
      <c r="C446" t="s">
        <v>1217</v>
      </c>
    </row>
    <row r="447" spans="1:3" x14ac:dyDescent="0.5">
      <c r="A447" t="s">
        <v>1422</v>
      </c>
      <c r="B447">
        <v>3</v>
      </c>
      <c r="C447" t="s">
        <v>1114</v>
      </c>
    </row>
    <row r="448" spans="1:3" x14ac:dyDescent="0.5">
      <c r="A448" t="s">
        <v>1423</v>
      </c>
      <c r="B448" t="s">
        <v>1119</v>
      </c>
      <c r="C448" t="s">
        <v>1126</v>
      </c>
    </row>
    <row r="449" spans="1:3" x14ac:dyDescent="0.5">
      <c r="A449" t="s">
        <v>1424</v>
      </c>
      <c r="B449" t="s">
        <v>1119</v>
      </c>
      <c r="C449" t="s">
        <v>1126</v>
      </c>
    </row>
    <row r="450" spans="1:3" x14ac:dyDescent="0.5">
      <c r="A450" t="s">
        <v>1425</v>
      </c>
      <c r="B450">
        <v>2</v>
      </c>
      <c r="C450" t="s">
        <v>1126</v>
      </c>
    </row>
    <row r="451" spans="1:3" x14ac:dyDescent="0.5">
      <c r="A451" t="s">
        <v>1426</v>
      </c>
      <c r="B451">
        <v>2</v>
      </c>
      <c r="C451" t="s">
        <v>1126</v>
      </c>
    </row>
    <row r="452" spans="1:3" x14ac:dyDescent="0.5">
      <c r="A452" t="s">
        <v>1426</v>
      </c>
      <c r="B452">
        <v>2</v>
      </c>
      <c r="C452" t="s">
        <v>1126</v>
      </c>
    </row>
    <row r="453" spans="1:3" x14ac:dyDescent="0.5">
      <c r="A453" t="s">
        <v>1427</v>
      </c>
      <c r="B453">
        <v>2</v>
      </c>
      <c r="C453" t="s">
        <v>1126</v>
      </c>
    </row>
    <row r="454" spans="1:3" x14ac:dyDescent="0.5">
      <c r="A454" t="s">
        <v>1428</v>
      </c>
      <c r="B454">
        <v>2</v>
      </c>
      <c r="C454" t="s">
        <v>1126</v>
      </c>
    </row>
    <row r="455" spans="1:3" x14ac:dyDescent="0.5">
      <c r="A455" t="s">
        <v>1429</v>
      </c>
      <c r="B455">
        <v>2</v>
      </c>
      <c r="C455" t="s">
        <v>1126</v>
      </c>
    </row>
    <row r="456" spans="1:3" x14ac:dyDescent="0.5">
      <c r="A456" t="s">
        <v>1430</v>
      </c>
      <c r="B456">
        <v>2</v>
      </c>
      <c r="C456" t="s">
        <v>1131</v>
      </c>
    </row>
    <row r="457" spans="1:3" x14ac:dyDescent="0.5">
      <c r="A457" t="s">
        <v>1431</v>
      </c>
      <c r="B457">
        <v>2</v>
      </c>
      <c r="C457" t="s">
        <v>1131</v>
      </c>
    </row>
    <row r="458" spans="1:3" x14ac:dyDescent="0.5">
      <c r="A458" t="s">
        <v>1432</v>
      </c>
      <c r="B458">
        <v>1</v>
      </c>
      <c r="C458" t="s">
        <v>1131</v>
      </c>
    </row>
    <row r="459" spans="1:3" x14ac:dyDescent="0.5">
      <c r="A459" t="s">
        <v>1433</v>
      </c>
      <c r="B459">
        <v>4</v>
      </c>
      <c r="C459" t="s">
        <v>1125</v>
      </c>
    </row>
    <row r="460" spans="1:3" x14ac:dyDescent="0.5">
      <c r="A460" t="s">
        <v>1434</v>
      </c>
      <c r="B460">
        <v>2</v>
      </c>
      <c r="C460" t="s">
        <v>1125</v>
      </c>
    </row>
    <row r="461" spans="1:3" x14ac:dyDescent="0.5">
      <c r="A461" t="s">
        <v>1435</v>
      </c>
      <c r="B461">
        <v>2</v>
      </c>
      <c r="C461" t="s">
        <v>1278</v>
      </c>
    </row>
    <row r="462" spans="1:3" x14ac:dyDescent="0.5">
      <c r="A462" t="s">
        <v>1435</v>
      </c>
      <c r="B462">
        <v>2</v>
      </c>
      <c r="C462" t="s">
        <v>1278</v>
      </c>
    </row>
    <row r="463" spans="1:3" x14ac:dyDescent="0.5">
      <c r="A463" t="s">
        <v>1436</v>
      </c>
      <c r="B463">
        <v>1</v>
      </c>
      <c r="C463" t="s">
        <v>1278</v>
      </c>
    </row>
    <row r="464" spans="1:3" x14ac:dyDescent="0.5">
      <c r="A464" t="s">
        <v>1437</v>
      </c>
      <c r="B464">
        <v>1</v>
      </c>
      <c r="C464" t="s">
        <v>1131</v>
      </c>
    </row>
    <row r="465" spans="1:3" x14ac:dyDescent="0.5">
      <c r="A465" t="s">
        <v>792</v>
      </c>
      <c r="B465">
        <v>2</v>
      </c>
      <c r="C465" t="s">
        <v>1131</v>
      </c>
    </row>
    <row r="466" spans="1:3" x14ac:dyDescent="0.5">
      <c r="A466" t="s">
        <v>1438</v>
      </c>
      <c r="B466">
        <v>1</v>
      </c>
      <c r="C466" t="s">
        <v>1126</v>
      </c>
    </row>
    <row r="467" spans="1:3" x14ac:dyDescent="0.5">
      <c r="A467" t="s">
        <v>1439</v>
      </c>
      <c r="B467">
        <v>2</v>
      </c>
      <c r="C467" t="s">
        <v>1126</v>
      </c>
    </row>
    <row r="468" spans="1:3" x14ac:dyDescent="0.5">
      <c r="A468" t="s">
        <v>1440</v>
      </c>
      <c r="B468">
        <v>2</v>
      </c>
      <c r="C468" t="s">
        <v>1114</v>
      </c>
    </row>
    <row r="469" spans="1:3" x14ac:dyDescent="0.5">
      <c r="A469" t="s">
        <v>1441</v>
      </c>
      <c r="B469" t="s">
        <v>1119</v>
      </c>
      <c r="C469" t="s">
        <v>1114</v>
      </c>
    </row>
    <row r="470" spans="1:3" x14ac:dyDescent="0.5">
      <c r="A470" t="s">
        <v>1442</v>
      </c>
      <c r="B470" t="s">
        <v>1119</v>
      </c>
      <c r="C470" t="s">
        <v>1114</v>
      </c>
    </row>
    <row r="471" spans="1:3" x14ac:dyDescent="0.5">
      <c r="A471" t="s">
        <v>1443</v>
      </c>
      <c r="B471" t="s">
        <v>1119</v>
      </c>
      <c r="C471" t="s">
        <v>1114</v>
      </c>
    </row>
    <row r="472" spans="1:3" x14ac:dyDescent="0.5">
      <c r="A472" t="s">
        <v>1444</v>
      </c>
      <c r="B472">
        <v>2</v>
      </c>
      <c r="C472" t="s">
        <v>1121</v>
      </c>
    </row>
    <row r="473" spans="1:3" x14ac:dyDescent="0.5">
      <c r="A473" t="s">
        <v>1445</v>
      </c>
      <c r="B473">
        <v>1</v>
      </c>
      <c r="C473" t="s">
        <v>1121</v>
      </c>
    </row>
    <row r="474" spans="1:3" x14ac:dyDescent="0.5">
      <c r="A474" t="s">
        <v>1446</v>
      </c>
      <c r="B474">
        <v>1</v>
      </c>
      <c r="C474" t="s">
        <v>1121</v>
      </c>
    </row>
    <row r="475" spans="1:3" x14ac:dyDescent="0.5">
      <c r="A475" t="s">
        <v>1447</v>
      </c>
      <c r="B475">
        <v>1</v>
      </c>
      <c r="C475" t="s">
        <v>1121</v>
      </c>
    </row>
    <row r="476" spans="1:3" x14ac:dyDescent="0.5">
      <c r="A476" t="s">
        <v>1448</v>
      </c>
      <c r="B476">
        <v>2</v>
      </c>
      <c r="C476" t="s">
        <v>1121</v>
      </c>
    </row>
    <row r="477" spans="1:3" x14ac:dyDescent="0.5">
      <c r="A477" t="s">
        <v>1449</v>
      </c>
      <c r="B477">
        <v>1</v>
      </c>
      <c r="C477" t="s">
        <v>1114</v>
      </c>
    </row>
    <row r="478" spans="1:3" x14ac:dyDescent="0.5">
      <c r="A478" t="s">
        <v>1450</v>
      </c>
      <c r="B478">
        <v>2</v>
      </c>
      <c r="C478" t="s">
        <v>1136</v>
      </c>
    </row>
    <row r="479" spans="1:3" x14ac:dyDescent="0.5">
      <c r="A479" t="s">
        <v>1451</v>
      </c>
      <c r="B479">
        <v>1</v>
      </c>
      <c r="C479" t="s">
        <v>1121</v>
      </c>
    </row>
    <row r="480" spans="1:3" x14ac:dyDescent="0.5">
      <c r="A480" t="s">
        <v>1452</v>
      </c>
      <c r="B480">
        <v>1</v>
      </c>
      <c r="C480" t="s">
        <v>1121</v>
      </c>
    </row>
    <row r="481" spans="1:3" x14ac:dyDescent="0.5">
      <c r="A481" t="s">
        <v>1453</v>
      </c>
      <c r="B481" t="s">
        <v>1119</v>
      </c>
      <c r="C481" t="s">
        <v>1121</v>
      </c>
    </row>
    <row r="482" spans="1:3" x14ac:dyDescent="0.5">
      <c r="A482" t="s">
        <v>1454</v>
      </c>
      <c r="B482">
        <v>2</v>
      </c>
      <c r="C482" t="s">
        <v>1117</v>
      </c>
    </row>
    <row r="483" spans="1:3" x14ac:dyDescent="0.5">
      <c r="A483" t="s">
        <v>1455</v>
      </c>
      <c r="B483">
        <v>3</v>
      </c>
      <c r="C483" t="s">
        <v>1131</v>
      </c>
    </row>
    <row r="484" spans="1:3" x14ac:dyDescent="0.5">
      <c r="A484" t="s">
        <v>1456</v>
      </c>
      <c r="B484">
        <v>3</v>
      </c>
      <c r="C484" t="s">
        <v>1120</v>
      </c>
    </row>
    <row r="485" spans="1:3" x14ac:dyDescent="0.5">
      <c r="A485" t="s">
        <v>363</v>
      </c>
      <c r="B485">
        <v>3</v>
      </c>
      <c r="C485" t="s">
        <v>1165</v>
      </c>
    </row>
    <row r="486" spans="1:3" x14ac:dyDescent="0.5">
      <c r="A486" t="s">
        <v>1457</v>
      </c>
      <c r="B486">
        <v>2</v>
      </c>
      <c r="C486" t="s">
        <v>1142</v>
      </c>
    </row>
    <row r="487" spans="1:3" x14ac:dyDescent="0.5">
      <c r="A487" t="s">
        <v>1458</v>
      </c>
      <c r="B487">
        <v>1</v>
      </c>
      <c r="C487" t="s">
        <v>1121</v>
      </c>
    </row>
    <row r="488" spans="1:3" x14ac:dyDescent="0.5">
      <c r="A488" t="s">
        <v>1459</v>
      </c>
      <c r="B488">
        <v>1</v>
      </c>
      <c r="C488" t="s">
        <v>1131</v>
      </c>
    </row>
    <row r="489" spans="1:3" x14ac:dyDescent="0.5">
      <c r="A489" t="s">
        <v>1460</v>
      </c>
      <c r="B489">
        <v>1</v>
      </c>
      <c r="C489" t="s">
        <v>1128</v>
      </c>
    </row>
    <row r="490" spans="1:3" x14ac:dyDescent="0.5">
      <c r="A490" t="s">
        <v>1461</v>
      </c>
      <c r="B490">
        <v>3</v>
      </c>
      <c r="C490" t="s">
        <v>1126</v>
      </c>
    </row>
    <row r="491" spans="1:3" x14ac:dyDescent="0.5">
      <c r="A491" t="s">
        <v>1462</v>
      </c>
      <c r="B491">
        <v>3</v>
      </c>
      <c r="C491" t="s">
        <v>1136</v>
      </c>
    </row>
    <row r="492" spans="1:3" x14ac:dyDescent="0.5">
      <c r="A492" t="s">
        <v>1463</v>
      </c>
      <c r="B492">
        <v>1</v>
      </c>
      <c r="C492" t="s">
        <v>1120</v>
      </c>
    </row>
    <row r="493" spans="1:3" x14ac:dyDescent="0.5">
      <c r="A493" t="s">
        <v>1464</v>
      </c>
      <c r="B493" t="s">
        <v>1119</v>
      </c>
      <c r="C493" t="s">
        <v>1120</v>
      </c>
    </row>
    <row r="494" spans="1:3" x14ac:dyDescent="0.5">
      <c r="A494" t="s">
        <v>1465</v>
      </c>
      <c r="B494">
        <v>3</v>
      </c>
      <c r="C494" t="s">
        <v>1131</v>
      </c>
    </row>
    <row r="495" spans="1:3" x14ac:dyDescent="0.5">
      <c r="A495" t="s">
        <v>1466</v>
      </c>
      <c r="B495">
        <v>1</v>
      </c>
      <c r="C495" t="s">
        <v>1121</v>
      </c>
    </row>
    <row r="496" spans="1:3" x14ac:dyDescent="0.5">
      <c r="A496" t="s">
        <v>1467</v>
      </c>
      <c r="B496" t="s">
        <v>1119</v>
      </c>
      <c r="C496" t="s">
        <v>1121</v>
      </c>
    </row>
    <row r="497" spans="1:3" x14ac:dyDescent="0.5">
      <c r="A497" t="s">
        <v>1468</v>
      </c>
      <c r="B497">
        <v>1</v>
      </c>
      <c r="C497" t="s">
        <v>1121</v>
      </c>
    </row>
    <row r="498" spans="1:3" x14ac:dyDescent="0.5">
      <c r="A498" t="s">
        <v>19</v>
      </c>
      <c r="B498" t="s">
        <v>1119</v>
      </c>
      <c r="C498" t="s">
        <v>1121</v>
      </c>
    </row>
    <row r="499" spans="1:3" x14ac:dyDescent="0.5">
      <c r="A499" t="s">
        <v>925</v>
      </c>
      <c r="B499">
        <v>1</v>
      </c>
      <c r="C499" t="s">
        <v>1121</v>
      </c>
    </row>
    <row r="500" spans="1:3" x14ac:dyDescent="0.5">
      <c r="A500" t="s">
        <v>1469</v>
      </c>
      <c r="B500">
        <v>1</v>
      </c>
      <c r="C500" t="s">
        <v>1121</v>
      </c>
    </row>
    <row r="501" spans="1:3" x14ac:dyDescent="0.5">
      <c r="A501" t="s">
        <v>27</v>
      </c>
      <c r="B501">
        <v>1</v>
      </c>
      <c r="C501" t="s">
        <v>1121</v>
      </c>
    </row>
    <row r="502" spans="1:3" x14ac:dyDescent="0.5">
      <c r="A502" t="s">
        <v>1470</v>
      </c>
      <c r="B502">
        <v>1</v>
      </c>
      <c r="C502" t="s">
        <v>1121</v>
      </c>
    </row>
    <row r="503" spans="1:3" x14ac:dyDescent="0.5">
      <c r="A503" t="s">
        <v>392</v>
      </c>
      <c r="B503">
        <v>1</v>
      </c>
      <c r="C503" t="s">
        <v>1136</v>
      </c>
    </row>
    <row r="504" spans="1:3" x14ac:dyDescent="0.5">
      <c r="A504" t="s">
        <v>1471</v>
      </c>
      <c r="B504">
        <v>1</v>
      </c>
      <c r="C504" t="s">
        <v>1121</v>
      </c>
    </row>
    <row r="505" spans="1:3" x14ac:dyDescent="0.5">
      <c r="A505" t="s">
        <v>1472</v>
      </c>
      <c r="B505">
        <v>2</v>
      </c>
      <c r="C505" t="s">
        <v>1126</v>
      </c>
    </row>
    <row r="506" spans="1:3" x14ac:dyDescent="0.5">
      <c r="A506" t="s">
        <v>1473</v>
      </c>
      <c r="B506">
        <v>1</v>
      </c>
      <c r="C506" t="s">
        <v>1126</v>
      </c>
    </row>
    <row r="507" spans="1:3" x14ac:dyDescent="0.5">
      <c r="A507" t="s">
        <v>1474</v>
      </c>
      <c r="B507">
        <v>2</v>
      </c>
      <c r="C507" t="s">
        <v>1126</v>
      </c>
    </row>
    <row r="508" spans="1:3" x14ac:dyDescent="0.5">
      <c r="A508" t="s">
        <v>1475</v>
      </c>
      <c r="B508">
        <v>3</v>
      </c>
      <c r="C508" t="s">
        <v>1143</v>
      </c>
    </row>
    <row r="509" spans="1:3" x14ac:dyDescent="0.5">
      <c r="A509" t="s">
        <v>1476</v>
      </c>
      <c r="B509">
        <v>4</v>
      </c>
      <c r="C509" t="s">
        <v>1131</v>
      </c>
    </row>
    <row r="510" spans="1:3" x14ac:dyDescent="0.5">
      <c r="A510" t="s">
        <v>1477</v>
      </c>
      <c r="B510">
        <v>3</v>
      </c>
      <c r="C510" t="s">
        <v>1121</v>
      </c>
    </row>
    <row r="511" spans="1:3" x14ac:dyDescent="0.5">
      <c r="A511" t="s">
        <v>1478</v>
      </c>
      <c r="B511">
        <v>1</v>
      </c>
      <c r="C511" t="s">
        <v>1117</v>
      </c>
    </row>
    <row r="512" spans="1:3" x14ac:dyDescent="0.5">
      <c r="A512" t="s">
        <v>1479</v>
      </c>
      <c r="B512">
        <v>2</v>
      </c>
      <c r="C512" t="s">
        <v>1121</v>
      </c>
    </row>
    <row r="513" spans="1:3" x14ac:dyDescent="0.5">
      <c r="A513" t="s">
        <v>1480</v>
      </c>
      <c r="B513">
        <v>1</v>
      </c>
      <c r="C513" t="s">
        <v>1121</v>
      </c>
    </row>
    <row r="514" spans="1:3" x14ac:dyDescent="0.5">
      <c r="A514" t="s">
        <v>1481</v>
      </c>
      <c r="B514">
        <v>1</v>
      </c>
      <c r="C514" t="s">
        <v>1121</v>
      </c>
    </row>
    <row r="515" spans="1:3" x14ac:dyDescent="0.5">
      <c r="A515" t="s">
        <v>1482</v>
      </c>
      <c r="B515">
        <v>1</v>
      </c>
      <c r="C515" t="s">
        <v>1121</v>
      </c>
    </row>
    <row r="516" spans="1:3" x14ac:dyDescent="0.5">
      <c r="A516" t="s">
        <v>1483</v>
      </c>
      <c r="B516" t="s">
        <v>1119</v>
      </c>
      <c r="C516" t="s">
        <v>1121</v>
      </c>
    </row>
    <row r="517" spans="1:3" x14ac:dyDescent="0.5">
      <c r="A517" t="s">
        <v>1484</v>
      </c>
      <c r="B517" t="s">
        <v>1119</v>
      </c>
      <c r="C517" t="s">
        <v>1125</v>
      </c>
    </row>
    <row r="518" spans="1:3" x14ac:dyDescent="0.5">
      <c r="A518" t="s">
        <v>1485</v>
      </c>
      <c r="B518">
        <v>3</v>
      </c>
      <c r="C518" t="s">
        <v>1136</v>
      </c>
    </row>
    <row r="519" spans="1:3" x14ac:dyDescent="0.5">
      <c r="A519" t="s">
        <v>1486</v>
      </c>
      <c r="B519">
        <v>1</v>
      </c>
      <c r="C519" t="s">
        <v>1114</v>
      </c>
    </row>
    <row r="520" spans="1:3" x14ac:dyDescent="0.5">
      <c r="A520" t="s">
        <v>1487</v>
      </c>
      <c r="B520">
        <v>1</v>
      </c>
      <c r="C520" t="s">
        <v>1141</v>
      </c>
    </row>
    <row r="521" spans="1:3" x14ac:dyDescent="0.5">
      <c r="A521" t="s">
        <v>1488</v>
      </c>
      <c r="B521">
        <v>2</v>
      </c>
      <c r="C521" t="s">
        <v>1131</v>
      </c>
    </row>
    <row r="522" spans="1:3" x14ac:dyDescent="0.5">
      <c r="A522" t="s">
        <v>1489</v>
      </c>
      <c r="B522" t="s">
        <v>1119</v>
      </c>
      <c r="C522" t="s">
        <v>1131</v>
      </c>
    </row>
    <row r="523" spans="1:3" x14ac:dyDescent="0.5">
      <c r="A523" t="s">
        <v>1490</v>
      </c>
      <c r="B523" t="s">
        <v>1119</v>
      </c>
      <c r="C523" t="s">
        <v>1131</v>
      </c>
    </row>
    <row r="524" spans="1:3" x14ac:dyDescent="0.5">
      <c r="A524" t="s">
        <v>1491</v>
      </c>
      <c r="B524" t="s">
        <v>1119</v>
      </c>
      <c r="C524" t="s">
        <v>1131</v>
      </c>
    </row>
    <row r="525" spans="1:3" x14ac:dyDescent="0.5">
      <c r="A525" t="s">
        <v>1492</v>
      </c>
      <c r="B525">
        <v>3</v>
      </c>
      <c r="C525" t="s">
        <v>1136</v>
      </c>
    </row>
    <row r="526" spans="1:3" x14ac:dyDescent="0.5">
      <c r="A526" t="s">
        <v>1493</v>
      </c>
      <c r="B526">
        <v>3</v>
      </c>
      <c r="C526" t="s">
        <v>1147</v>
      </c>
    </row>
    <row r="527" spans="1:3" x14ac:dyDescent="0.5">
      <c r="A527" t="s">
        <v>1494</v>
      </c>
      <c r="B527">
        <v>1</v>
      </c>
      <c r="C527" t="s">
        <v>1121</v>
      </c>
    </row>
    <row r="528" spans="1:3" x14ac:dyDescent="0.5">
      <c r="A528" t="s">
        <v>1495</v>
      </c>
      <c r="B528">
        <v>1</v>
      </c>
      <c r="C528" t="s">
        <v>1121</v>
      </c>
    </row>
    <row r="529" spans="1:3" x14ac:dyDescent="0.5">
      <c r="A529" t="s">
        <v>1496</v>
      </c>
      <c r="B529">
        <v>1</v>
      </c>
      <c r="C529" t="s">
        <v>1114</v>
      </c>
    </row>
    <row r="530" spans="1:3" x14ac:dyDescent="0.5">
      <c r="A530" t="s">
        <v>1497</v>
      </c>
      <c r="B530">
        <v>1</v>
      </c>
      <c r="C530" t="s">
        <v>1131</v>
      </c>
    </row>
    <row r="531" spans="1:3" x14ac:dyDescent="0.5">
      <c r="A531" t="s">
        <v>1498</v>
      </c>
      <c r="B531">
        <v>1</v>
      </c>
      <c r="C531" t="s">
        <v>1121</v>
      </c>
    </row>
    <row r="532" spans="1:3" x14ac:dyDescent="0.5">
      <c r="A532" t="s">
        <v>1499</v>
      </c>
      <c r="B532">
        <v>1</v>
      </c>
      <c r="C532" t="s">
        <v>1121</v>
      </c>
    </row>
    <row r="533" spans="1:3" x14ac:dyDescent="0.5">
      <c r="A533" t="s">
        <v>1500</v>
      </c>
      <c r="B533">
        <v>2</v>
      </c>
      <c r="C533" t="s">
        <v>1120</v>
      </c>
    </row>
    <row r="534" spans="1:3" x14ac:dyDescent="0.5">
      <c r="A534" t="s">
        <v>1501</v>
      </c>
      <c r="B534">
        <v>1</v>
      </c>
      <c r="C534" t="s">
        <v>1147</v>
      </c>
    </row>
    <row r="535" spans="1:3" x14ac:dyDescent="0.5">
      <c r="A535" t="s">
        <v>974</v>
      </c>
      <c r="B535">
        <v>1</v>
      </c>
      <c r="C535" t="s">
        <v>1147</v>
      </c>
    </row>
    <row r="536" spans="1:3" x14ac:dyDescent="0.5">
      <c r="A536" t="s">
        <v>1502</v>
      </c>
      <c r="B536">
        <v>3</v>
      </c>
      <c r="C536" t="s">
        <v>1139</v>
      </c>
    </row>
    <row r="537" spans="1:3" x14ac:dyDescent="0.5">
      <c r="A537" t="s">
        <v>1503</v>
      </c>
      <c r="B537">
        <v>1</v>
      </c>
      <c r="C537" t="s">
        <v>1136</v>
      </c>
    </row>
    <row r="538" spans="1:3" x14ac:dyDescent="0.5">
      <c r="A538" t="s">
        <v>1504</v>
      </c>
      <c r="B538">
        <v>1</v>
      </c>
      <c r="C538" t="s">
        <v>1121</v>
      </c>
    </row>
    <row r="539" spans="1:3" x14ac:dyDescent="0.5">
      <c r="A539" t="s">
        <v>1505</v>
      </c>
      <c r="B539" t="s">
        <v>1119</v>
      </c>
      <c r="C539" t="s">
        <v>1136</v>
      </c>
    </row>
    <row r="540" spans="1:3" x14ac:dyDescent="0.5">
      <c r="A540" t="s">
        <v>1506</v>
      </c>
      <c r="B540">
        <v>1</v>
      </c>
      <c r="C540" t="s">
        <v>1136</v>
      </c>
    </row>
    <row r="541" spans="1:3" x14ac:dyDescent="0.5">
      <c r="A541" t="s">
        <v>1507</v>
      </c>
      <c r="B541">
        <v>2</v>
      </c>
      <c r="C541" t="s">
        <v>1136</v>
      </c>
    </row>
    <row r="542" spans="1:3" x14ac:dyDescent="0.5">
      <c r="A542" t="s">
        <v>1508</v>
      </c>
      <c r="B542">
        <v>1</v>
      </c>
      <c r="C542" t="s">
        <v>1121</v>
      </c>
    </row>
    <row r="543" spans="1:3" x14ac:dyDescent="0.5">
      <c r="A543" t="s">
        <v>1509</v>
      </c>
      <c r="B543">
        <v>1</v>
      </c>
      <c r="C543" t="s">
        <v>1121</v>
      </c>
    </row>
    <row r="544" spans="1:3" x14ac:dyDescent="0.5">
      <c r="A544" t="s">
        <v>1510</v>
      </c>
      <c r="B544">
        <v>1</v>
      </c>
      <c r="C544" t="s">
        <v>1121</v>
      </c>
    </row>
    <row r="545" spans="1:3" x14ac:dyDescent="0.5">
      <c r="A545" t="s">
        <v>1511</v>
      </c>
      <c r="B545">
        <v>1</v>
      </c>
      <c r="C545" t="s">
        <v>1121</v>
      </c>
    </row>
    <row r="546" spans="1:3" x14ac:dyDescent="0.5">
      <c r="A546" t="s">
        <v>1512</v>
      </c>
      <c r="B546">
        <v>1</v>
      </c>
      <c r="C546" t="s">
        <v>1121</v>
      </c>
    </row>
    <row r="547" spans="1:3" x14ac:dyDescent="0.5">
      <c r="A547" t="s">
        <v>1513</v>
      </c>
      <c r="B547">
        <v>2</v>
      </c>
      <c r="C547" t="s">
        <v>1136</v>
      </c>
    </row>
    <row r="548" spans="1:3" x14ac:dyDescent="0.5">
      <c r="A548" t="s">
        <v>1514</v>
      </c>
      <c r="B548">
        <v>2</v>
      </c>
      <c r="C548" t="s">
        <v>1136</v>
      </c>
    </row>
    <row r="549" spans="1:3" x14ac:dyDescent="0.5">
      <c r="A549" t="s">
        <v>1515</v>
      </c>
      <c r="B549">
        <v>1</v>
      </c>
      <c r="C549" t="s">
        <v>1128</v>
      </c>
    </row>
    <row r="550" spans="1:3" x14ac:dyDescent="0.5">
      <c r="A550" t="s">
        <v>1516</v>
      </c>
      <c r="B550">
        <v>4</v>
      </c>
      <c r="C550" t="s">
        <v>1141</v>
      </c>
    </row>
    <row r="551" spans="1:3" x14ac:dyDescent="0.5">
      <c r="A551" t="s">
        <v>1517</v>
      </c>
      <c r="B551">
        <v>1</v>
      </c>
      <c r="C551" t="s">
        <v>1131</v>
      </c>
    </row>
    <row r="552" spans="1:3" x14ac:dyDescent="0.5">
      <c r="A552" t="s">
        <v>1518</v>
      </c>
      <c r="B552">
        <v>1</v>
      </c>
      <c r="C552" t="s">
        <v>1121</v>
      </c>
    </row>
    <row r="553" spans="1:3" x14ac:dyDescent="0.5">
      <c r="A553" t="s">
        <v>1519</v>
      </c>
      <c r="B553">
        <v>1</v>
      </c>
      <c r="C553" t="s">
        <v>1121</v>
      </c>
    </row>
    <row r="554" spans="1:3" x14ac:dyDescent="0.5">
      <c r="A554" t="s">
        <v>1520</v>
      </c>
      <c r="B554">
        <v>2</v>
      </c>
      <c r="C554" t="s">
        <v>1147</v>
      </c>
    </row>
    <row r="555" spans="1:3" x14ac:dyDescent="0.5">
      <c r="A555" t="s">
        <v>1035</v>
      </c>
      <c r="B555">
        <v>2</v>
      </c>
      <c r="C555" t="s">
        <v>1131</v>
      </c>
    </row>
    <row r="556" spans="1:3" x14ac:dyDescent="0.5">
      <c r="A556" t="s">
        <v>1521</v>
      </c>
      <c r="B556">
        <v>2</v>
      </c>
      <c r="C556" t="s">
        <v>1131</v>
      </c>
    </row>
    <row r="557" spans="1:3" x14ac:dyDescent="0.5">
      <c r="A557" t="s">
        <v>1522</v>
      </c>
      <c r="B557">
        <v>1</v>
      </c>
      <c r="C557" t="s">
        <v>1128</v>
      </c>
    </row>
    <row r="558" spans="1:3" x14ac:dyDescent="0.5">
      <c r="A558" t="s">
        <v>1523</v>
      </c>
      <c r="B558" t="s">
        <v>1119</v>
      </c>
      <c r="C558" t="s">
        <v>1142</v>
      </c>
    </row>
    <row r="559" spans="1:3" x14ac:dyDescent="0.5">
      <c r="A559" t="s">
        <v>1524</v>
      </c>
      <c r="B559">
        <v>1</v>
      </c>
      <c r="C559" t="s">
        <v>1136</v>
      </c>
    </row>
    <row r="560" spans="1:3" x14ac:dyDescent="0.5">
      <c r="A560" t="s">
        <v>1525</v>
      </c>
      <c r="B560">
        <v>2</v>
      </c>
      <c r="C560" t="s">
        <v>1142</v>
      </c>
    </row>
    <row r="561" spans="1:3" x14ac:dyDescent="0.5">
      <c r="A561" t="s">
        <v>1526</v>
      </c>
      <c r="B561" t="s">
        <v>1119</v>
      </c>
      <c r="C561" t="s">
        <v>1120</v>
      </c>
    </row>
    <row r="562" spans="1:3" x14ac:dyDescent="0.5">
      <c r="A562" t="s">
        <v>80</v>
      </c>
      <c r="B562">
        <v>1</v>
      </c>
      <c r="C562" t="s">
        <v>1278</v>
      </c>
    </row>
    <row r="563" spans="1:3" x14ac:dyDescent="0.5">
      <c r="A563" t="s">
        <v>1527</v>
      </c>
      <c r="B563">
        <v>4</v>
      </c>
      <c r="C563" t="s">
        <v>1528</v>
      </c>
    </row>
    <row r="564" spans="1:3" x14ac:dyDescent="0.5">
      <c r="A564" t="s">
        <v>1529</v>
      </c>
      <c r="B564">
        <v>2</v>
      </c>
      <c r="C564" t="s">
        <v>1125</v>
      </c>
    </row>
    <row r="565" spans="1:3" x14ac:dyDescent="0.5">
      <c r="A565" t="s">
        <v>1530</v>
      </c>
      <c r="B565">
        <v>2</v>
      </c>
      <c r="C565" t="s">
        <v>1143</v>
      </c>
    </row>
    <row r="566" spans="1:3" x14ac:dyDescent="0.5">
      <c r="A566" t="s">
        <v>1531</v>
      </c>
      <c r="B566">
        <v>1</v>
      </c>
      <c r="C566" t="s">
        <v>1136</v>
      </c>
    </row>
    <row r="567" spans="1:3" x14ac:dyDescent="0.5">
      <c r="A567" t="s">
        <v>1532</v>
      </c>
      <c r="B567" t="s">
        <v>1119</v>
      </c>
      <c r="C567" t="s">
        <v>1136</v>
      </c>
    </row>
    <row r="568" spans="1:3" x14ac:dyDescent="0.5">
      <c r="A568" t="s">
        <v>1533</v>
      </c>
      <c r="B568">
        <v>2</v>
      </c>
      <c r="C568" t="s">
        <v>1120</v>
      </c>
    </row>
    <row r="569" spans="1:3" x14ac:dyDescent="0.5">
      <c r="A569" t="s">
        <v>1534</v>
      </c>
      <c r="B569">
        <v>2</v>
      </c>
      <c r="C569" t="s">
        <v>1136</v>
      </c>
    </row>
    <row r="570" spans="1:3" x14ac:dyDescent="0.5">
      <c r="A570" t="s">
        <v>1535</v>
      </c>
      <c r="B570">
        <v>2</v>
      </c>
      <c r="C570" t="s">
        <v>1159</v>
      </c>
    </row>
    <row r="571" spans="1:3" x14ac:dyDescent="0.5">
      <c r="A571" t="s">
        <v>1536</v>
      </c>
      <c r="B571" t="s">
        <v>1119</v>
      </c>
      <c r="C571" t="s">
        <v>1121</v>
      </c>
    </row>
    <row r="572" spans="1:3" x14ac:dyDescent="0.5">
      <c r="A572" t="s">
        <v>1537</v>
      </c>
      <c r="B572">
        <v>1</v>
      </c>
      <c r="C572" t="s">
        <v>1121</v>
      </c>
    </row>
    <row r="573" spans="1:3" x14ac:dyDescent="0.5">
      <c r="A573" t="s">
        <v>1538</v>
      </c>
      <c r="B573">
        <v>2</v>
      </c>
      <c r="C573" t="s">
        <v>1136</v>
      </c>
    </row>
    <row r="574" spans="1:3" x14ac:dyDescent="0.5">
      <c r="A574" t="s">
        <v>1539</v>
      </c>
      <c r="B574" t="s">
        <v>1119</v>
      </c>
      <c r="C574" t="s">
        <v>1121</v>
      </c>
    </row>
    <row r="575" spans="1:3" x14ac:dyDescent="0.5">
      <c r="A575" t="s">
        <v>1540</v>
      </c>
      <c r="B575">
        <v>3</v>
      </c>
      <c r="C575" t="s">
        <v>1114</v>
      </c>
    </row>
    <row r="576" spans="1:3" x14ac:dyDescent="0.5">
      <c r="A576" t="s">
        <v>729</v>
      </c>
      <c r="B576">
        <v>1</v>
      </c>
      <c r="C576" t="s">
        <v>1121</v>
      </c>
    </row>
    <row r="577" spans="1:3" x14ac:dyDescent="0.5">
      <c r="A577" t="s">
        <v>1541</v>
      </c>
      <c r="B577">
        <v>2</v>
      </c>
      <c r="C577" t="s">
        <v>1121</v>
      </c>
    </row>
    <row r="578" spans="1:3" x14ac:dyDescent="0.5">
      <c r="A578" t="s">
        <v>1542</v>
      </c>
      <c r="B578">
        <v>2</v>
      </c>
      <c r="C578" t="s">
        <v>1121</v>
      </c>
    </row>
    <row r="579" spans="1:3" x14ac:dyDescent="0.5">
      <c r="A579" t="s">
        <v>1543</v>
      </c>
      <c r="B579">
        <v>2</v>
      </c>
      <c r="C579" t="s">
        <v>1136</v>
      </c>
    </row>
    <row r="580" spans="1:3" x14ac:dyDescent="0.5">
      <c r="A580" t="s">
        <v>1544</v>
      </c>
      <c r="B580">
        <v>4</v>
      </c>
      <c r="C580" t="s">
        <v>1136</v>
      </c>
    </row>
    <row r="581" spans="1:3" x14ac:dyDescent="0.5">
      <c r="A581" t="s">
        <v>513</v>
      </c>
      <c r="B581">
        <v>1</v>
      </c>
      <c r="C581" t="s">
        <v>1114</v>
      </c>
    </row>
    <row r="582" spans="1:3" x14ac:dyDescent="0.5">
      <c r="A582" t="s">
        <v>1545</v>
      </c>
      <c r="B582">
        <v>1</v>
      </c>
      <c r="C582" t="s">
        <v>1278</v>
      </c>
    </row>
    <row r="583" spans="1:3" x14ac:dyDescent="0.5">
      <c r="A583" t="s">
        <v>1546</v>
      </c>
      <c r="B583">
        <v>2</v>
      </c>
      <c r="C583" t="s">
        <v>1114</v>
      </c>
    </row>
    <row r="584" spans="1:3" x14ac:dyDescent="0.5">
      <c r="A584" t="s">
        <v>273</v>
      </c>
      <c r="B584">
        <v>2</v>
      </c>
      <c r="C584" t="s">
        <v>1177</v>
      </c>
    </row>
    <row r="585" spans="1:3" x14ac:dyDescent="0.5">
      <c r="A585" t="s">
        <v>1547</v>
      </c>
      <c r="B585">
        <v>1</v>
      </c>
      <c r="C585" t="s">
        <v>1126</v>
      </c>
    </row>
    <row r="586" spans="1:3" x14ac:dyDescent="0.5">
      <c r="A586" t="s">
        <v>1548</v>
      </c>
      <c r="B586" t="s">
        <v>1119</v>
      </c>
      <c r="C586" t="s">
        <v>1121</v>
      </c>
    </row>
    <row r="587" spans="1:3" x14ac:dyDescent="0.5">
      <c r="A587" t="s">
        <v>1549</v>
      </c>
      <c r="B587">
        <v>2</v>
      </c>
      <c r="C587" t="s">
        <v>1121</v>
      </c>
    </row>
    <row r="588" spans="1:3" x14ac:dyDescent="0.5">
      <c r="A588" t="s">
        <v>1550</v>
      </c>
      <c r="B588">
        <v>2</v>
      </c>
      <c r="C588" t="s">
        <v>1121</v>
      </c>
    </row>
    <row r="589" spans="1:3" x14ac:dyDescent="0.5">
      <c r="A589" t="s">
        <v>1551</v>
      </c>
      <c r="B589">
        <v>4</v>
      </c>
      <c r="C589" t="s">
        <v>1121</v>
      </c>
    </row>
    <row r="590" spans="1:3" x14ac:dyDescent="0.5">
      <c r="A590" t="s">
        <v>1552</v>
      </c>
      <c r="B590">
        <v>4</v>
      </c>
      <c r="C590" t="s">
        <v>1116</v>
      </c>
    </row>
    <row r="591" spans="1:3" x14ac:dyDescent="0.5">
      <c r="A591" t="s">
        <v>1553</v>
      </c>
      <c r="B591" t="s">
        <v>1119</v>
      </c>
      <c r="C591" t="s">
        <v>1131</v>
      </c>
    </row>
    <row r="592" spans="1:3" x14ac:dyDescent="0.5">
      <c r="A592" t="s">
        <v>1554</v>
      </c>
      <c r="B592" t="s">
        <v>1119</v>
      </c>
      <c r="C592" t="s">
        <v>1131</v>
      </c>
    </row>
    <row r="593" spans="1:3" x14ac:dyDescent="0.5">
      <c r="A593" t="s">
        <v>1555</v>
      </c>
      <c r="B593">
        <v>1</v>
      </c>
      <c r="C593" t="s">
        <v>1121</v>
      </c>
    </row>
    <row r="594" spans="1:3" x14ac:dyDescent="0.5">
      <c r="A594" t="s">
        <v>834</v>
      </c>
      <c r="B594" t="s">
        <v>1119</v>
      </c>
      <c r="C594" t="s">
        <v>1121</v>
      </c>
    </row>
    <row r="595" spans="1:3" x14ac:dyDescent="0.5">
      <c r="A595" t="s">
        <v>1556</v>
      </c>
      <c r="B595">
        <v>2</v>
      </c>
      <c r="C595" t="s">
        <v>1136</v>
      </c>
    </row>
    <row r="596" spans="1:3" x14ac:dyDescent="0.5">
      <c r="A596" t="s">
        <v>1557</v>
      </c>
      <c r="B596">
        <v>1</v>
      </c>
      <c r="C596" t="s">
        <v>1121</v>
      </c>
    </row>
    <row r="597" spans="1:3" x14ac:dyDescent="0.5">
      <c r="A597" t="s">
        <v>1558</v>
      </c>
      <c r="B597">
        <v>3</v>
      </c>
      <c r="C597" t="s">
        <v>1136</v>
      </c>
    </row>
    <row r="598" spans="1:3" x14ac:dyDescent="0.5">
      <c r="A598" t="s">
        <v>1559</v>
      </c>
      <c r="B598">
        <v>2</v>
      </c>
      <c r="C598" t="s">
        <v>1121</v>
      </c>
    </row>
    <row r="599" spans="1:3" x14ac:dyDescent="0.5">
      <c r="A599" t="s">
        <v>236</v>
      </c>
      <c r="B599">
        <v>1</v>
      </c>
      <c r="C599" t="s">
        <v>1136</v>
      </c>
    </row>
    <row r="600" spans="1:3" x14ac:dyDescent="0.5">
      <c r="A600" t="s">
        <v>1560</v>
      </c>
      <c r="B600">
        <v>1</v>
      </c>
      <c r="C600" t="s">
        <v>1147</v>
      </c>
    </row>
    <row r="601" spans="1:3" x14ac:dyDescent="0.5">
      <c r="A601" t="s">
        <v>1561</v>
      </c>
      <c r="B601">
        <v>3</v>
      </c>
      <c r="C601" t="s">
        <v>1264</v>
      </c>
    </row>
    <row r="602" spans="1:3" x14ac:dyDescent="0.5">
      <c r="A602" t="s">
        <v>1562</v>
      </c>
      <c r="B602">
        <v>2</v>
      </c>
      <c r="C602" t="s">
        <v>1134</v>
      </c>
    </row>
    <row r="603" spans="1:3" x14ac:dyDescent="0.5">
      <c r="A603" t="s">
        <v>222</v>
      </c>
      <c r="B603">
        <v>3</v>
      </c>
      <c r="C603" t="s">
        <v>1136</v>
      </c>
    </row>
    <row r="604" spans="1:3" x14ac:dyDescent="0.5">
      <c r="A604" t="s">
        <v>1563</v>
      </c>
      <c r="B604">
        <v>1</v>
      </c>
      <c r="C604" t="s">
        <v>1131</v>
      </c>
    </row>
    <row r="605" spans="1:3" x14ac:dyDescent="0.5">
      <c r="A605" t="s">
        <v>336</v>
      </c>
      <c r="B605">
        <v>2</v>
      </c>
      <c r="C605" t="s">
        <v>1128</v>
      </c>
    </row>
    <row r="606" spans="1:3" x14ac:dyDescent="0.5">
      <c r="A606" t="s">
        <v>1564</v>
      </c>
      <c r="B606" t="s">
        <v>1119</v>
      </c>
      <c r="C606" t="s">
        <v>1136</v>
      </c>
    </row>
    <row r="607" spans="1:3" x14ac:dyDescent="0.5">
      <c r="A607" t="s">
        <v>1565</v>
      </c>
      <c r="B607">
        <v>2</v>
      </c>
      <c r="C607" t="s">
        <v>1120</v>
      </c>
    </row>
    <row r="608" spans="1:3" x14ac:dyDescent="0.5">
      <c r="A608" t="s">
        <v>1566</v>
      </c>
      <c r="B608">
        <v>3</v>
      </c>
      <c r="C608" t="s">
        <v>1278</v>
      </c>
    </row>
    <row r="609" spans="1:3" x14ac:dyDescent="0.5">
      <c r="A609" t="s">
        <v>1567</v>
      </c>
      <c r="B609">
        <v>2</v>
      </c>
      <c r="C609" t="s">
        <v>1278</v>
      </c>
    </row>
    <row r="610" spans="1:3" x14ac:dyDescent="0.5">
      <c r="A610" t="s">
        <v>1568</v>
      </c>
      <c r="B610">
        <v>3</v>
      </c>
      <c r="C610" t="s">
        <v>1136</v>
      </c>
    </row>
    <row r="611" spans="1:3" x14ac:dyDescent="0.5">
      <c r="A611" t="s">
        <v>1569</v>
      </c>
      <c r="B611">
        <v>1</v>
      </c>
      <c r="C611" t="s">
        <v>1249</v>
      </c>
    </row>
    <row r="612" spans="1:3" x14ac:dyDescent="0.5">
      <c r="A612" t="s">
        <v>1570</v>
      </c>
      <c r="B612">
        <v>1</v>
      </c>
      <c r="C612" t="s">
        <v>1170</v>
      </c>
    </row>
    <row r="613" spans="1:3" x14ac:dyDescent="0.5">
      <c r="A613" t="s">
        <v>1571</v>
      </c>
      <c r="B613">
        <v>2</v>
      </c>
      <c r="C613" t="s">
        <v>1278</v>
      </c>
    </row>
    <row r="614" spans="1:3" x14ac:dyDescent="0.5">
      <c r="A614" t="s">
        <v>1572</v>
      </c>
      <c r="B614">
        <v>1</v>
      </c>
      <c r="C614" t="s">
        <v>1117</v>
      </c>
    </row>
    <row r="615" spans="1:3" x14ac:dyDescent="0.5">
      <c r="A615" t="s">
        <v>1573</v>
      </c>
      <c r="B615">
        <v>3</v>
      </c>
      <c r="C615" t="s">
        <v>1121</v>
      </c>
    </row>
    <row r="616" spans="1:3" x14ac:dyDescent="0.5">
      <c r="A616" t="s">
        <v>1574</v>
      </c>
      <c r="B616">
        <v>3</v>
      </c>
      <c r="C616" t="s">
        <v>1121</v>
      </c>
    </row>
    <row r="617" spans="1:3" x14ac:dyDescent="0.5">
      <c r="A617" t="s">
        <v>1575</v>
      </c>
      <c r="B617">
        <v>1</v>
      </c>
      <c r="C617" t="s">
        <v>1136</v>
      </c>
    </row>
    <row r="618" spans="1:3" x14ac:dyDescent="0.5">
      <c r="A618" t="s">
        <v>1576</v>
      </c>
      <c r="B618">
        <v>2</v>
      </c>
      <c r="C618" t="s">
        <v>1136</v>
      </c>
    </row>
    <row r="619" spans="1:3" x14ac:dyDescent="0.5">
      <c r="A619" t="s">
        <v>1577</v>
      </c>
      <c r="B619">
        <v>3</v>
      </c>
      <c r="C619" t="s">
        <v>1114</v>
      </c>
    </row>
    <row r="620" spans="1:3" x14ac:dyDescent="0.5">
      <c r="A620" t="s">
        <v>914</v>
      </c>
      <c r="B620">
        <v>1</v>
      </c>
      <c r="C620" t="s">
        <v>1121</v>
      </c>
    </row>
    <row r="621" spans="1:3" x14ac:dyDescent="0.5">
      <c r="A621" t="s">
        <v>1578</v>
      </c>
      <c r="B621">
        <v>1</v>
      </c>
      <c r="C621" t="s">
        <v>1121</v>
      </c>
    </row>
    <row r="622" spans="1:3" x14ac:dyDescent="0.5">
      <c r="A622" t="s">
        <v>1579</v>
      </c>
      <c r="B622">
        <v>2</v>
      </c>
      <c r="C622" t="s">
        <v>1121</v>
      </c>
    </row>
    <row r="623" spans="1:3" x14ac:dyDescent="0.5">
      <c r="A623" t="s">
        <v>542</v>
      </c>
      <c r="B623">
        <v>1</v>
      </c>
      <c r="C623" t="s">
        <v>1114</v>
      </c>
    </row>
    <row r="624" spans="1:3" x14ac:dyDescent="0.5">
      <c r="A624" t="s">
        <v>1580</v>
      </c>
      <c r="B624">
        <v>1</v>
      </c>
      <c r="C624" t="s">
        <v>1121</v>
      </c>
    </row>
    <row r="625" spans="1:3" x14ac:dyDescent="0.5">
      <c r="A625" t="s">
        <v>1581</v>
      </c>
      <c r="B625">
        <v>1</v>
      </c>
      <c r="C625" t="s">
        <v>1121</v>
      </c>
    </row>
    <row r="626" spans="1:3" x14ac:dyDescent="0.5">
      <c r="A626" t="s">
        <v>1582</v>
      </c>
      <c r="B626">
        <v>3</v>
      </c>
      <c r="C626" t="s">
        <v>1136</v>
      </c>
    </row>
    <row r="627" spans="1:3" x14ac:dyDescent="0.5">
      <c r="A627" t="s">
        <v>1583</v>
      </c>
      <c r="B627">
        <v>3</v>
      </c>
      <c r="C627" t="s">
        <v>1136</v>
      </c>
    </row>
    <row r="628" spans="1:3" x14ac:dyDescent="0.5">
      <c r="A628" t="s">
        <v>1584</v>
      </c>
      <c r="B628">
        <v>2</v>
      </c>
      <c r="C628" t="s">
        <v>1131</v>
      </c>
    </row>
    <row r="629" spans="1:3" x14ac:dyDescent="0.5">
      <c r="A629" t="s">
        <v>1585</v>
      </c>
      <c r="B629">
        <v>2</v>
      </c>
      <c r="C629" t="s">
        <v>1121</v>
      </c>
    </row>
    <row r="630" spans="1:3" x14ac:dyDescent="0.5">
      <c r="A630" t="s">
        <v>1586</v>
      </c>
      <c r="B630">
        <v>1</v>
      </c>
      <c r="C630" t="s">
        <v>1136</v>
      </c>
    </row>
    <row r="631" spans="1:3" x14ac:dyDescent="0.5">
      <c r="A631" t="s">
        <v>1587</v>
      </c>
      <c r="B631">
        <v>1</v>
      </c>
      <c r="C631" t="s">
        <v>1136</v>
      </c>
    </row>
    <row r="632" spans="1:3" x14ac:dyDescent="0.5">
      <c r="A632" t="s">
        <v>1588</v>
      </c>
      <c r="B632">
        <v>1</v>
      </c>
      <c r="C632" t="s">
        <v>1136</v>
      </c>
    </row>
    <row r="633" spans="1:3" x14ac:dyDescent="0.5">
      <c r="A633" t="s">
        <v>1589</v>
      </c>
      <c r="B633">
        <v>2</v>
      </c>
      <c r="C633" t="s">
        <v>1121</v>
      </c>
    </row>
    <row r="634" spans="1:3" x14ac:dyDescent="0.5">
      <c r="A634" t="s">
        <v>1590</v>
      </c>
      <c r="B634">
        <v>1</v>
      </c>
      <c r="C634" t="s">
        <v>1128</v>
      </c>
    </row>
    <row r="635" spans="1:3" x14ac:dyDescent="0.5">
      <c r="A635" t="s">
        <v>1591</v>
      </c>
      <c r="B635">
        <v>2</v>
      </c>
      <c r="C635" t="s">
        <v>1136</v>
      </c>
    </row>
    <row r="636" spans="1:3" x14ac:dyDescent="0.5">
      <c r="A636" t="s">
        <v>1592</v>
      </c>
      <c r="B636">
        <v>1</v>
      </c>
      <c r="C636" t="s">
        <v>1126</v>
      </c>
    </row>
    <row r="637" spans="1:3" x14ac:dyDescent="0.5">
      <c r="A637" t="s">
        <v>1593</v>
      </c>
      <c r="B637">
        <v>2</v>
      </c>
      <c r="C637" t="s">
        <v>1278</v>
      </c>
    </row>
    <row r="638" spans="1:3" x14ac:dyDescent="0.5">
      <c r="A638" t="s">
        <v>1055</v>
      </c>
      <c r="B638">
        <v>2</v>
      </c>
      <c r="C638" t="s">
        <v>1131</v>
      </c>
    </row>
    <row r="639" spans="1:3" x14ac:dyDescent="0.5">
      <c r="A639" t="s">
        <v>723</v>
      </c>
      <c r="B639">
        <v>1</v>
      </c>
      <c r="C639" t="s">
        <v>1125</v>
      </c>
    </row>
    <row r="640" spans="1:3" x14ac:dyDescent="0.5">
      <c r="A640" t="s">
        <v>1594</v>
      </c>
      <c r="B640">
        <v>1</v>
      </c>
      <c r="C640" t="s">
        <v>1117</v>
      </c>
    </row>
    <row r="641" spans="1:3" x14ac:dyDescent="0.5">
      <c r="A641" t="s">
        <v>897</v>
      </c>
      <c r="B641">
        <v>2</v>
      </c>
      <c r="C641" t="s">
        <v>1121</v>
      </c>
    </row>
    <row r="642" spans="1:3" x14ac:dyDescent="0.5">
      <c r="A642" t="s">
        <v>374</v>
      </c>
      <c r="B642">
        <v>1</v>
      </c>
      <c r="C642" t="s">
        <v>1136</v>
      </c>
    </row>
    <row r="643" spans="1:3" x14ac:dyDescent="0.5">
      <c r="A643" t="s">
        <v>387</v>
      </c>
      <c r="B643">
        <v>1</v>
      </c>
      <c r="C643" t="s">
        <v>1136</v>
      </c>
    </row>
    <row r="644" spans="1:3" x14ac:dyDescent="0.5">
      <c r="A644" t="s">
        <v>389</v>
      </c>
      <c r="B644">
        <v>1</v>
      </c>
      <c r="C644" t="s">
        <v>1136</v>
      </c>
    </row>
    <row r="645" spans="1:3" x14ac:dyDescent="0.5">
      <c r="A645" t="s">
        <v>405</v>
      </c>
      <c r="B645">
        <v>1</v>
      </c>
      <c r="C645" t="s">
        <v>1136</v>
      </c>
    </row>
    <row r="646" spans="1:3" x14ac:dyDescent="0.5">
      <c r="A646" t="s">
        <v>409</v>
      </c>
      <c r="B646">
        <v>1</v>
      </c>
      <c r="C646" t="s">
        <v>1136</v>
      </c>
    </row>
    <row r="647" spans="1:3" x14ac:dyDescent="0.5">
      <c r="A647" t="s">
        <v>1595</v>
      </c>
      <c r="B647">
        <v>1</v>
      </c>
      <c r="C647" t="s">
        <v>1136</v>
      </c>
    </row>
    <row r="648" spans="1:3" x14ac:dyDescent="0.5">
      <c r="A648" t="s">
        <v>394</v>
      </c>
      <c r="B648">
        <v>1</v>
      </c>
      <c r="C648" t="s">
        <v>1136</v>
      </c>
    </row>
    <row r="649" spans="1:3" x14ac:dyDescent="0.5">
      <c r="A649" t="s">
        <v>398</v>
      </c>
      <c r="B649">
        <v>1</v>
      </c>
      <c r="C649" t="s">
        <v>1136</v>
      </c>
    </row>
    <row r="650" spans="1:3" x14ac:dyDescent="0.5">
      <c r="A650" t="s">
        <v>404</v>
      </c>
      <c r="B650">
        <v>1</v>
      </c>
      <c r="C650" t="s">
        <v>1136</v>
      </c>
    </row>
    <row r="651" spans="1:3" x14ac:dyDescent="0.5">
      <c r="A651" t="s">
        <v>1596</v>
      </c>
      <c r="B651" t="s">
        <v>1146</v>
      </c>
      <c r="C651" t="s">
        <v>1273</v>
      </c>
    </row>
    <row r="652" spans="1:3" x14ac:dyDescent="0.5">
      <c r="A652" t="s">
        <v>1597</v>
      </c>
      <c r="B652">
        <v>1</v>
      </c>
      <c r="C652" t="s">
        <v>1142</v>
      </c>
    </row>
    <row r="653" spans="1:3" x14ac:dyDescent="0.5">
      <c r="A653" t="s">
        <v>1598</v>
      </c>
      <c r="B653">
        <v>2</v>
      </c>
      <c r="C653" t="s">
        <v>1142</v>
      </c>
    </row>
    <row r="654" spans="1:3" x14ac:dyDescent="0.5">
      <c r="A654" t="s">
        <v>910</v>
      </c>
      <c r="B654">
        <v>3</v>
      </c>
      <c r="C654" t="s">
        <v>1121</v>
      </c>
    </row>
    <row r="655" spans="1:3" x14ac:dyDescent="0.5">
      <c r="A655" t="s">
        <v>1599</v>
      </c>
      <c r="B655">
        <v>1</v>
      </c>
      <c r="C655" t="s">
        <v>1121</v>
      </c>
    </row>
    <row r="656" spans="1:3" x14ac:dyDescent="0.5">
      <c r="A656" t="s">
        <v>1600</v>
      </c>
      <c r="B656">
        <v>3</v>
      </c>
      <c r="C656" t="s">
        <v>1142</v>
      </c>
    </row>
    <row r="657" spans="1:3" x14ac:dyDescent="0.5">
      <c r="A657" t="s">
        <v>1601</v>
      </c>
      <c r="B657">
        <v>1</v>
      </c>
      <c r="C657" t="s">
        <v>1131</v>
      </c>
    </row>
    <row r="658" spans="1:3" x14ac:dyDescent="0.5">
      <c r="A658" t="s">
        <v>1602</v>
      </c>
      <c r="B658">
        <v>1</v>
      </c>
      <c r="C658" t="s">
        <v>1121</v>
      </c>
    </row>
    <row r="659" spans="1:3" x14ac:dyDescent="0.5">
      <c r="A659" t="s">
        <v>1603</v>
      </c>
      <c r="B659">
        <v>2</v>
      </c>
      <c r="C659" t="s">
        <v>1121</v>
      </c>
    </row>
    <row r="660" spans="1:3" x14ac:dyDescent="0.5">
      <c r="A660" t="s">
        <v>475</v>
      </c>
      <c r="B660">
        <v>2</v>
      </c>
      <c r="C660" t="s">
        <v>1159</v>
      </c>
    </row>
    <row r="661" spans="1:3" x14ac:dyDescent="0.5">
      <c r="A661" t="s">
        <v>1604</v>
      </c>
      <c r="B661" t="s">
        <v>1119</v>
      </c>
      <c r="C661" t="s">
        <v>1121</v>
      </c>
    </row>
    <row r="662" spans="1:3" x14ac:dyDescent="0.5">
      <c r="A662" t="s">
        <v>1605</v>
      </c>
      <c r="B662">
        <v>3</v>
      </c>
      <c r="C662" t="s">
        <v>1136</v>
      </c>
    </row>
    <row r="663" spans="1:3" x14ac:dyDescent="0.5">
      <c r="A663" t="s">
        <v>1606</v>
      </c>
      <c r="B663">
        <v>1</v>
      </c>
      <c r="C663" t="s">
        <v>1120</v>
      </c>
    </row>
    <row r="664" spans="1:3" x14ac:dyDescent="0.5">
      <c r="A664" t="s">
        <v>262</v>
      </c>
      <c r="B664">
        <v>3</v>
      </c>
      <c r="C664" t="s">
        <v>1136</v>
      </c>
    </row>
    <row r="665" spans="1:3" x14ac:dyDescent="0.5">
      <c r="A665" t="s">
        <v>1607</v>
      </c>
      <c r="B665">
        <v>3</v>
      </c>
      <c r="C665" t="s">
        <v>1125</v>
      </c>
    </row>
    <row r="666" spans="1:3" x14ac:dyDescent="0.5">
      <c r="A666" t="s">
        <v>756</v>
      </c>
      <c r="B666" t="s">
        <v>1119</v>
      </c>
      <c r="C666" t="s">
        <v>1125</v>
      </c>
    </row>
    <row r="667" spans="1:3" x14ac:dyDescent="0.5">
      <c r="A667" t="s">
        <v>1608</v>
      </c>
      <c r="B667">
        <v>2</v>
      </c>
      <c r="C667" t="s">
        <v>1121</v>
      </c>
    </row>
    <row r="668" spans="1:3" x14ac:dyDescent="0.5">
      <c r="A668" t="s">
        <v>1609</v>
      </c>
      <c r="B668" t="s">
        <v>1119</v>
      </c>
      <c r="C668" t="s">
        <v>1125</v>
      </c>
    </row>
    <row r="669" spans="1:3" x14ac:dyDescent="0.5">
      <c r="A669" t="s">
        <v>1610</v>
      </c>
      <c r="B669" t="s">
        <v>1119</v>
      </c>
      <c r="C669" t="s">
        <v>1125</v>
      </c>
    </row>
    <row r="670" spans="1:3" x14ac:dyDescent="0.5">
      <c r="A670" t="s">
        <v>1611</v>
      </c>
      <c r="B670">
        <v>3</v>
      </c>
      <c r="C670" t="s">
        <v>1136</v>
      </c>
    </row>
    <row r="671" spans="1:3" x14ac:dyDescent="0.5">
      <c r="A671" t="s">
        <v>1612</v>
      </c>
      <c r="B671">
        <v>2</v>
      </c>
      <c r="C671" t="s">
        <v>1125</v>
      </c>
    </row>
    <row r="672" spans="1:3" x14ac:dyDescent="0.5">
      <c r="A672" t="s">
        <v>1613</v>
      </c>
      <c r="B672">
        <v>1</v>
      </c>
      <c r="C672" t="s">
        <v>1143</v>
      </c>
    </row>
    <row r="673" spans="1:3" x14ac:dyDescent="0.5">
      <c r="A673" t="s">
        <v>1614</v>
      </c>
      <c r="B673">
        <v>2</v>
      </c>
      <c r="C673" t="s">
        <v>1125</v>
      </c>
    </row>
    <row r="674" spans="1:3" x14ac:dyDescent="0.5">
      <c r="A674" t="s">
        <v>1615</v>
      </c>
      <c r="B674">
        <v>1</v>
      </c>
      <c r="C674" t="s">
        <v>1125</v>
      </c>
    </row>
    <row r="675" spans="1:3" x14ac:dyDescent="0.5">
      <c r="A675" t="s">
        <v>1616</v>
      </c>
      <c r="B675">
        <v>2</v>
      </c>
      <c r="C675" t="s">
        <v>1125</v>
      </c>
    </row>
    <row r="676" spans="1:3" x14ac:dyDescent="0.5">
      <c r="A676" t="s">
        <v>1617</v>
      </c>
      <c r="B676">
        <v>1</v>
      </c>
      <c r="C676" t="s">
        <v>1125</v>
      </c>
    </row>
    <row r="677" spans="1:3" x14ac:dyDescent="0.5">
      <c r="A677" t="s">
        <v>1618</v>
      </c>
      <c r="B677">
        <v>3</v>
      </c>
      <c r="C677" t="s">
        <v>1142</v>
      </c>
    </row>
    <row r="678" spans="1:3" x14ac:dyDescent="0.5">
      <c r="A678" t="s">
        <v>1619</v>
      </c>
      <c r="B678">
        <v>2</v>
      </c>
      <c r="C678" t="s">
        <v>1264</v>
      </c>
    </row>
    <row r="679" spans="1:3" x14ac:dyDescent="0.5">
      <c r="A679" t="s">
        <v>1620</v>
      </c>
      <c r="B679">
        <v>2</v>
      </c>
      <c r="C679" t="s">
        <v>1177</v>
      </c>
    </row>
    <row r="680" spans="1:3" x14ac:dyDescent="0.5">
      <c r="A680" t="s">
        <v>1621</v>
      </c>
      <c r="B680">
        <v>3</v>
      </c>
      <c r="C680" t="s">
        <v>1142</v>
      </c>
    </row>
    <row r="681" spans="1:3" x14ac:dyDescent="0.5">
      <c r="A681" t="s">
        <v>1622</v>
      </c>
      <c r="B681">
        <v>3</v>
      </c>
      <c r="C681" t="s">
        <v>1114</v>
      </c>
    </row>
    <row r="682" spans="1:3" x14ac:dyDescent="0.5">
      <c r="A682" t="s">
        <v>1080</v>
      </c>
      <c r="B682">
        <v>1</v>
      </c>
      <c r="C682" t="s">
        <v>1120</v>
      </c>
    </row>
    <row r="683" spans="1:3" x14ac:dyDescent="0.5">
      <c r="A683" t="s">
        <v>1623</v>
      </c>
      <c r="B683">
        <v>1</v>
      </c>
      <c r="C683" t="s">
        <v>1120</v>
      </c>
    </row>
    <row r="684" spans="1:3" x14ac:dyDescent="0.5">
      <c r="A684" t="s">
        <v>1624</v>
      </c>
      <c r="B684">
        <v>2</v>
      </c>
      <c r="C684" t="s">
        <v>1126</v>
      </c>
    </row>
    <row r="685" spans="1:3" x14ac:dyDescent="0.5">
      <c r="A685" t="s">
        <v>1625</v>
      </c>
      <c r="B685">
        <v>3</v>
      </c>
      <c r="C685" t="s">
        <v>1120</v>
      </c>
    </row>
    <row r="686" spans="1:3" x14ac:dyDescent="0.5">
      <c r="A686" t="s">
        <v>1626</v>
      </c>
      <c r="B686">
        <v>1</v>
      </c>
      <c r="C686" t="s">
        <v>1278</v>
      </c>
    </row>
    <row r="687" spans="1:3" x14ac:dyDescent="0.5">
      <c r="A687" t="s">
        <v>1627</v>
      </c>
      <c r="B687">
        <v>2</v>
      </c>
      <c r="C687" t="s">
        <v>1264</v>
      </c>
    </row>
    <row r="688" spans="1:3" x14ac:dyDescent="0.5">
      <c r="A688" t="s">
        <v>1628</v>
      </c>
      <c r="B688" t="s">
        <v>1119</v>
      </c>
      <c r="C688" t="s">
        <v>1121</v>
      </c>
    </row>
    <row r="689" spans="1:3" x14ac:dyDescent="0.5">
      <c r="A689" t="s">
        <v>1629</v>
      </c>
      <c r="B689">
        <v>1</v>
      </c>
      <c r="C689" t="s">
        <v>1121</v>
      </c>
    </row>
    <row r="690" spans="1:3" x14ac:dyDescent="0.5">
      <c r="A690" t="s">
        <v>1630</v>
      </c>
      <c r="B690">
        <v>3</v>
      </c>
      <c r="C690" t="s">
        <v>1126</v>
      </c>
    </row>
    <row r="691" spans="1:3" x14ac:dyDescent="0.5">
      <c r="A691" t="s">
        <v>1631</v>
      </c>
      <c r="B691">
        <v>2</v>
      </c>
      <c r="C691" t="s">
        <v>1126</v>
      </c>
    </row>
    <row r="692" spans="1:3" x14ac:dyDescent="0.5">
      <c r="A692" t="s">
        <v>1632</v>
      </c>
      <c r="B692">
        <v>3</v>
      </c>
      <c r="C692" t="s">
        <v>1141</v>
      </c>
    </row>
    <row r="693" spans="1:3" x14ac:dyDescent="0.5">
      <c r="A693" t="s">
        <v>1633</v>
      </c>
      <c r="B693">
        <v>1</v>
      </c>
      <c r="C693" t="s">
        <v>1217</v>
      </c>
    </row>
    <row r="694" spans="1:3" x14ac:dyDescent="0.5">
      <c r="A694" t="s">
        <v>342</v>
      </c>
      <c r="B694">
        <v>1</v>
      </c>
      <c r="C694" t="s">
        <v>1136</v>
      </c>
    </row>
    <row r="695" spans="1:3" x14ac:dyDescent="0.5">
      <c r="A695" t="s">
        <v>1634</v>
      </c>
      <c r="B695">
        <v>1</v>
      </c>
      <c r="C695" t="s">
        <v>1249</v>
      </c>
    </row>
    <row r="696" spans="1:3" x14ac:dyDescent="0.5">
      <c r="A696" t="s">
        <v>1635</v>
      </c>
      <c r="B696">
        <v>2</v>
      </c>
      <c r="C696" t="s">
        <v>1139</v>
      </c>
    </row>
    <row r="697" spans="1:3" x14ac:dyDescent="0.5">
      <c r="A697" t="s">
        <v>1636</v>
      </c>
      <c r="B697">
        <v>1</v>
      </c>
      <c r="C697" t="s">
        <v>1139</v>
      </c>
    </row>
    <row r="698" spans="1:3" x14ac:dyDescent="0.5">
      <c r="A698" t="s">
        <v>1637</v>
      </c>
      <c r="B698">
        <v>3</v>
      </c>
      <c r="C698" t="s">
        <v>1121</v>
      </c>
    </row>
    <row r="699" spans="1:3" x14ac:dyDescent="0.5">
      <c r="A699" t="s">
        <v>1638</v>
      </c>
      <c r="B699">
        <v>1</v>
      </c>
      <c r="C699" t="s">
        <v>1120</v>
      </c>
    </row>
    <row r="700" spans="1:3" x14ac:dyDescent="0.5">
      <c r="A700" t="s">
        <v>1639</v>
      </c>
      <c r="B700">
        <v>3</v>
      </c>
      <c r="C700" t="s">
        <v>1528</v>
      </c>
    </row>
    <row r="701" spans="1:3" x14ac:dyDescent="0.5">
      <c r="A701" t="s">
        <v>355</v>
      </c>
      <c r="B701">
        <v>1</v>
      </c>
      <c r="C701" t="s">
        <v>1278</v>
      </c>
    </row>
    <row r="702" spans="1:3" x14ac:dyDescent="0.5">
      <c r="A702" t="s">
        <v>939</v>
      </c>
      <c r="B702">
        <v>2</v>
      </c>
      <c r="C702" t="s">
        <v>1147</v>
      </c>
    </row>
    <row r="703" spans="1:3" x14ac:dyDescent="0.5">
      <c r="A703" t="s">
        <v>1640</v>
      </c>
      <c r="B703">
        <v>2</v>
      </c>
      <c r="C703" t="s">
        <v>1136</v>
      </c>
    </row>
    <row r="704" spans="1:3" x14ac:dyDescent="0.5">
      <c r="A704" t="s">
        <v>1088</v>
      </c>
      <c r="B704">
        <v>1</v>
      </c>
      <c r="C704" t="s">
        <v>1120</v>
      </c>
    </row>
    <row r="705" spans="1:3" x14ac:dyDescent="0.5">
      <c r="A705" t="s">
        <v>1641</v>
      </c>
      <c r="B705">
        <v>2</v>
      </c>
      <c r="C705" t="s">
        <v>1147</v>
      </c>
    </row>
    <row r="706" spans="1:3" x14ac:dyDescent="0.5">
      <c r="A706" t="s">
        <v>1642</v>
      </c>
      <c r="B706">
        <v>2</v>
      </c>
      <c r="C706" t="s">
        <v>1121</v>
      </c>
    </row>
    <row r="707" spans="1:3" x14ac:dyDescent="0.5">
      <c r="A707" t="s">
        <v>1643</v>
      </c>
      <c r="B707">
        <v>3</v>
      </c>
      <c r="C707" t="s">
        <v>1147</v>
      </c>
    </row>
    <row r="708" spans="1:3" x14ac:dyDescent="0.5">
      <c r="A708" t="s">
        <v>1644</v>
      </c>
      <c r="B708">
        <v>2</v>
      </c>
      <c r="C708" t="s">
        <v>1121</v>
      </c>
    </row>
    <row r="709" spans="1:3" x14ac:dyDescent="0.5">
      <c r="A709" t="s">
        <v>1645</v>
      </c>
      <c r="B709">
        <v>2</v>
      </c>
      <c r="C709" t="s">
        <v>1121</v>
      </c>
    </row>
    <row r="710" spans="1:3" x14ac:dyDescent="0.5">
      <c r="A710" t="s">
        <v>1646</v>
      </c>
      <c r="B710">
        <v>3</v>
      </c>
      <c r="C710" t="s">
        <v>1121</v>
      </c>
    </row>
    <row r="711" spans="1:3" x14ac:dyDescent="0.5">
      <c r="A711" t="s">
        <v>1647</v>
      </c>
      <c r="B711">
        <v>1</v>
      </c>
      <c r="C711" t="s">
        <v>1136</v>
      </c>
    </row>
    <row r="712" spans="1:3" x14ac:dyDescent="0.5">
      <c r="A712" t="s">
        <v>1648</v>
      </c>
      <c r="B712">
        <v>3</v>
      </c>
      <c r="C712" t="s">
        <v>1136</v>
      </c>
    </row>
    <row r="713" spans="1:3" x14ac:dyDescent="0.5">
      <c r="A713" t="s">
        <v>1649</v>
      </c>
      <c r="B713">
        <v>1</v>
      </c>
      <c r="C713" t="s">
        <v>1136</v>
      </c>
    </row>
    <row r="714" spans="1:3" x14ac:dyDescent="0.5">
      <c r="A714" t="s">
        <v>1650</v>
      </c>
      <c r="B714">
        <v>1</v>
      </c>
      <c r="C714" t="s">
        <v>1126</v>
      </c>
    </row>
    <row r="715" spans="1:3" x14ac:dyDescent="0.5">
      <c r="A715" t="s">
        <v>1651</v>
      </c>
      <c r="B715" t="s">
        <v>1119</v>
      </c>
      <c r="C715" t="s">
        <v>1278</v>
      </c>
    </row>
    <row r="716" spans="1:3" x14ac:dyDescent="0.5">
      <c r="A716" t="s">
        <v>1652</v>
      </c>
      <c r="B716" t="s">
        <v>1119</v>
      </c>
      <c r="C716" t="s">
        <v>1139</v>
      </c>
    </row>
    <row r="717" spans="1:3" x14ac:dyDescent="0.5">
      <c r="A717" t="s">
        <v>1653</v>
      </c>
      <c r="B717">
        <v>2</v>
      </c>
      <c r="C717" t="s">
        <v>1121</v>
      </c>
    </row>
    <row r="718" spans="1:3" x14ac:dyDescent="0.5">
      <c r="A718" t="s">
        <v>1654</v>
      </c>
      <c r="B718">
        <v>2</v>
      </c>
      <c r="C718" t="s">
        <v>1121</v>
      </c>
    </row>
    <row r="719" spans="1:3" x14ac:dyDescent="0.5">
      <c r="A719" t="s">
        <v>1655</v>
      </c>
      <c r="B719">
        <v>3</v>
      </c>
      <c r="C719" t="s">
        <v>1114</v>
      </c>
    </row>
    <row r="720" spans="1:3" x14ac:dyDescent="0.5">
      <c r="A720" t="s">
        <v>1656</v>
      </c>
      <c r="B720">
        <v>1</v>
      </c>
      <c r="C720" t="s">
        <v>1128</v>
      </c>
    </row>
    <row r="721" spans="1:3" x14ac:dyDescent="0.5">
      <c r="A721" t="s">
        <v>1657</v>
      </c>
      <c r="B721">
        <v>1</v>
      </c>
      <c r="C721" t="s">
        <v>1120</v>
      </c>
    </row>
    <row r="722" spans="1:3" x14ac:dyDescent="0.5">
      <c r="A722" t="s">
        <v>1658</v>
      </c>
      <c r="B722">
        <v>1</v>
      </c>
      <c r="C722" t="s">
        <v>1278</v>
      </c>
    </row>
    <row r="723" spans="1:3" x14ac:dyDescent="0.5">
      <c r="A723" t="s">
        <v>1659</v>
      </c>
      <c r="B723" t="s">
        <v>1119</v>
      </c>
      <c r="C723" t="s">
        <v>1121</v>
      </c>
    </row>
    <row r="724" spans="1:3" x14ac:dyDescent="0.5">
      <c r="A724" t="s">
        <v>1660</v>
      </c>
      <c r="B724">
        <v>2</v>
      </c>
      <c r="C724" t="s">
        <v>1131</v>
      </c>
    </row>
    <row r="725" spans="1:3" x14ac:dyDescent="0.5">
      <c r="A725" t="s">
        <v>1661</v>
      </c>
      <c r="B725">
        <v>1</v>
      </c>
      <c r="C725" t="s">
        <v>1125</v>
      </c>
    </row>
    <row r="726" spans="1:3" x14ac:dyDescent="0.5">
      <c r="A726" t="s">
        <v>799</v>
      </c>
      <c r="B726">
        <v>1</v>
      </c>
      <c r="C726" t="s">
        <v>1121</v>
      </c>
    </row>
    <row r="727" spans="1:3" x14ac:dyDescent="0.5">
      <c r="A727" t="s">
        <v>1662</v>
      </c>
      <c r="B727">
        <v>1</v>
      </c>
      <c r="C727" t="s">
        <v>1121</v>
      </c>
    </row>
    <row r="728" spans="1:3" x14ac:dyDescent="0.5">
      <c r="A728" t="s">
        <v>1663</v>
      </c>
      <c r="B728">
        <v>1</v>
      </c>
      <c r="C728" t="s">
        <v>1126</v>
      </c>
    </row>
    <row r="729" spans="1:3" x14ac:dyDescent="0.5">
      <c r="A729" t="s">
        <v>1664</v>
      </c>
      <c r="B729">
        <v>1</v>
      </c>
      <c r="C729" t="s">
        <v>1278</v>
      </c>
    </row>
    <row r="730" spans="1:3" x14ac:dyDescent="0.5">
      <c r="A730" t="s">
        <v>1665</v>
      </c>
      <c r="B730">
        <v>1</v>
      </c>
      <c r="C730" t="s">
        <v>1159</v>
      </c>
    </row>
    <row r="731" spans="1:3" x14ac:dyDescent="0.5">
      <c r="A731" t="s">
        <v>1666</v>
      </c>
      <c r="B731">
        <v>3</v>
      </c>
      <c r="C731" t="s">
        <v>1136</v>
      </c>
    </row>
    <row r="732" spans="1:3" x14ac:dyDescent="0.5">
      <c r="A732" t="s">
        <v>1667</v>
      </c>
      <c r="B732">
        <v>1</v>
      </c>
      <c r="C732" t="s">
        <v>1136</v>
      </c>
    </row>
    <row r="733" spans="1:3" x14ac:dyDescent="0.5">
      <c r="A733" t="s">
        <v>1668</v>
      </c>
      <c r="B733">
        <v>1</v>
      </c>
      <c r="C733" t="s">
        <v>1121</v>
      </c>
    </row>
    <row r="734" spans="1:3" x14ac:dyDescent="0.5">
      <c r="A734" t="s">
        <v>1669</v>
      </c>
      <c r="B734">
        <v>1</v>
      </c>
      <c r="C734" t="s">
        <v>1249</v>
      </c>
    </row>
    <row r="735" spans="1:3" x14ac:dyDescent="0.5">
      <c r="A735" t="s">
        <v>794</v>
      </c>
      <c r="B735">
        <v>1</v>
      </c>
      <c r="C735" t="s">
        <v>1126</v>
      </c>
    </row>
    <row r="736" spans="1:3" x14ac:dyDescent="0.5">
      <c r="A736" t="s">
        <v>565</v>
      </c>
      <c r="B736">
        <v>2</v>
      </c>
      <c r="C736" t="s">
        <v>1136</v>
      </c>
    </row>
    <row r="737" spans="1:3" x14ac:dyDescent="0.5">
      <c r="A737" t="s">
        <v>1670</v>
      </c>
      <c r="B737">
        <v>1</v>
      </c>
      <c r="C737" t="s">
        <v>1121</v>
      </c>
    </row>
    <row r="738" spans="1:3" x14ac:dyDescent="0.5">
      <c r="A738" t="s">
        <v>1671</v>
      </c>
      <c r="B738">
        <v>1</v>
      </c>
      <c r="C738" t="s">
        <v>1273</v>
      </c>
    </row>
    <row r="739" spans="1:3" x14ac:dyDescent="0.5">
      <c r="A739" t="s">
        <v>1672</v>
      </c>
      <c r="B739">
        <v>2</v>
      </c>
      <c r="C739" t="s">
        <v>1278</v>
      </c>
    </row>
    <row r="740" spans="1:3" x14ac:dyDescent="0.5">
      <c r="A740" t="s">
        <v>1673</v>
      </c>
      <c r="B740">
        <v>1</v>
      </c>
      <c r="C740" t="s">
        <v>1131</v>
      </c>
    </row>
    <row r="741" spans="1:3" x14ac:dyDescent="0.5">
      <c r="A741" t="s">
        <v>1674</v>
      </c>
      <c r="B741">
        <v>2</v>
      </c>
      <c r="C741" t="s">
        <v>1131</v>
      </c>
    </row>
    <row r="742" spans="1:3" x14ac:dyDescent="0.5">
      <c r="A742" t="s">
        <v>1675</v>
      </c>
      <c r="B742" t="s">
        <v>1119</v>
      </c>
      <c r="C742" t="s">
        <v>1131</v>
      </c>
    </row>
    <row r="743" spans="1:3" x14ac:dyDescent="0.5">
      <c r="A743" t="s">
        <v>1676</v>
      </c>
      <c r="B743" t="s">
        <v>1119</v>
      </c>
      <c r="C743" t="s">
        <v>1121</v>
      </c>
    </row>
    <row r="744" spans="1:3" x14ac:dyDescent="0.5">
      <c r="A744" t="s">
        <v>1677</v>
      </c>
      <c r="B744">
        <v>2</v>
      </c>
      <c r="C744" t="s">
        <v>1126</v>
      </c>
    </row>
    <row r="745" spans="1:3" x14ac:dyDescent="0.5">
      <c r="A745" t="s">
        <v>580</v>
      </c>
      <c r="B745">
        <v>1</v>
      </c>
      <c r="C745" t="s">
        <v>1136</v>
      </c>
    </row>
    <row r="746" spans="1:3" x14ac:dyDescent="0.5">
      <c r="A746" t="s">
        <v>1678</v>
      </c>
      <c r="B746">
        <v>1</v>
      </c>
      <c r="C746" t="s">
        <v>1150</v>
      </c>
    </row>
    <row r="747" spans="1:3" x14ac:dyDescent="0.5">
      <c r="A747" t="s">
        <v>1679</v>
      </c>
      <c r="B747">
        <v>1</v>
      </c>
      <c r="C747" t="s">
        <v>1150</v>
      </c>
    </row>
    <row r="748" spans="1:3" x14ac:dyDescent="0.5">
      <c r="A748" t="s">
        <v>1680</v>
      </c>
      <c r="B748">
        <v>1</v>
      </c>
      <c r="C748" t="s">
        <v>1121</v>
      </c>
    </row>
    <row r="749" spans="1:3" x14ac:dyDescent="0.5">
      <c r="A749" t="s">
        <v>900</v>
      </c>
      <c r="B749">
        <v>1</v>
      </c>
      <c r="C749" t="s">
        <v>1121</v>
      </c>
    </row>
    <row r="750" spans="1:3" x14ac:dyDescent="0.5">
      <c r="A750" t="s">
        <v>1681</v>
      </c>
      <c r="B750">
        <v>3</v>
      </c>
      <c r="C750" t="s">
        <v>1121</v>
      </c>
    </row>
    <row r="751" spans="1:3" x14ac:dyDescent="0.5">
      <c r="A751" t="s">
        <v>1682</v>
      </c>
      <c r="B751">
        <v>3</v>
      </c>
      <c r="C751" t="s">
        <v>1120</v>
      </c>
    </row>
    <row r="752" spans="1:3" x14ac:dyDescent="0.5">
      <c r="A752" t="s">
        <v>1683</v>
      </c>
      <c r="B752">
        <v>3</v>
      </c>
      <c r="C752" t="s">
        <v>1125</v>
      </c>
    </row>
    <row r="753" spans="1:3" x14ac:dyDescent="0.5">
      <c r="A753" t="s">
        <v>1684</v>
      </c>
      <c r="B753">
        <v>2</v>
      </c>
      <c r="C753" t="s">
        <v>1136</v>
      </c>
    </row>
    <row r="754" spans="1:3" x14ac:dyDescent="0.5">
      <c r="A754" t="s">
        <v>1685</v>
      </c>
      <c r="B754">
        <v>3</v>
      </c>
      <c r="C754" t="s">
        <v>1191</v>
      </c>
    </row>
    <row r="755" spans="1:3" x14ac:dyDescent="0.5">
      <c r="A755" t="s">
        <v>907</v>
      </c>
      <c r="B755">
        <v>1</v>
      </c>
      <c r="C755" t="s">
        <v>1121</v>
      </c>
    </row>
    <row r="756" spans="1:3" x14ac:dyDescent="0.5">
      <c r="A756" t="s">
        <v>1686</v>
      </c>
      <c r="B756" t="s">
        <v>1146</v>
      </c>
      <c r="C756" t="s">
        <v>1136</v>
      </c>
    </row>
    <row r="757" spans="1:3" x14ac:dyDescent="0.5">
      <c r="A757" t="s">
        <v>1687</v>
      </c>
      <c r="B757">
        <v>2</v>
      </c>
      <c r="C757" t="s">
        <v>1125</v>
      </c>
    </row>
    <row r="758" spans="1:3" x14ac:dyDescent="0.5">
      <c r="A758" t="s">
        <v>1688</v>
      </c>
      <c r="B758">
        <v>2</v>
      </c>
      <c r="C758" t="s">
        <v>1278</v>
      </c>
    </row>
    <row r="759" spans="1:3" x14ac:dyDescent="0.5">
      <c r="A759" t="s">
        <v>1689</v>
      </c>
      <c r="B759">
        <v>3</v>
      </c>
      <c r="C759" t="s">
        <v>1143</v>
      </c>
    </row>
    <row r="760" spans="1:3" x14ac:dyDescent="0.5">
      <c r="A760" t="s">
        <v>1690</v>
      </c>
      <c r="B760">
        <v>2</v>
      </c>
      <c r="C760" t="s">
        <v>1120</v>
      </c>
    </row>
    <row r="761" spans="1:3" x14ac:dyDescent="0.5">
      <c r="A761" t="s">
        <v>863</v>
      </c>
      <c r="B761">
        <v>1</v>
      </c>
      <c r="C761" t="s">
        <v>1121</v>
      </c>
    </row>
    <row r="762" spans="1:3" x14ac:dyDescent="0.5">
      <c r="A762" t="s">
        <v>1691</v>
      </c>
      <c r="B762">
        <v>1</v>
      </c>
      <c r="C762" t="s">
        <v>1121</v>
      </c>
    </row>
    <row r="763" spans="1:3" x14ac:dyDescent="0.5">
      <c r="A763" t="s">
        <v>1692</v>
      </c>
      <c r="B763">
        <v>3</v>
      </c>
      <c r="C763" t="s">
        <v>1121</v>
      </c>
    </row>
    <row r="764" spans="1:3" x14ac:dyDescent="0.5">
      <c r="A764" t="s">
        <v>976</v>
      </c>
      <c r="B764" t="s">
        <v>1119</v>
      </c>
      <c r="C764" t="s">
        <v>1131</v>
      </c>
    </row>
    <row r="765" spans="1:3" x14ac:dyDescent="0.5">
      <c r="A765" t="s">
        <v>1693</v>
      </c>
      <c r="B765">
        <v>1</v>
      </c>
      <c r="C765" t="s">
        <v>1120</v>
      </c>
    </row>
    <row r="766" spans="1:3" x14ac:dyDescent="0.5">
      <c r="A766" t="s">
        <v>1694</v>
      </c>
      <c r="B766" t="s">
        <v>1119</v>
      </c>
      <c r="C766" t="s">
        <v>1125</v>
      </c>
    </row>
    <row r="767" spans="1:3" x14ac:dyDescent="0.5">
      <c r="A767" t="s">
        <v>1695</v>
      </c>
      <c r="B767">
        <v>1</v>
      </c>
      <c r="C767" t="s">
        <v>1147</v>
      </c>
    </row>
    <row r="768" spans="1:3" x14ac:dyDescent="0.5">
      <c r="A768" t="s">
        <v>1696</v>
      </c>
      <c r="B768">
        <v>1</v>
      </c>
      <c r="C768" t="s">
        <v>1121</v>
      </c>
    </row>
    <row r="769" spans="1:3" x14ac:dyDescent="0.5">
      <c r="A769" t="s">
        <v>1697</v>
      </c>
      <c r="B769" t="s">
        <v>1119</v>
      </c>
      <c r="C769" t="s">
        <v>1125</v>
      </c>
    </row>
    <row r="770" spans="1:3" x14ac:dyDescent="0.5">
      <c r="A770" t="s">
        <v>1698</v>
      </c>
      <c r="B770">
        <v>2</v>
      </c>
      <c r="C770" t="s">
        <v>1121</v>
      </c>
    </row>
    <row r="771" spans="1:3" x14ac:dyDescent="0.5">
      <c r="A771" t="s">
        <v>1699</v>
      </c>
      <c r="B771">
        <v>2</v>
      </c>
      <c r="C771" t="s">
        <v>1136</v>
      </c>
    </row>
    <row r="772" spans="1:3" x14ac:dyDescent="0.5">
      <c r="A772" t="s">
        <v>850</v>
      </c>
      <c r="B772">
        <v>2</v>
      </c>
      <c r="C772" t="s">
        <v>1121</v>
      </c>
    </row>
    <row r="773" spans="1:3" x14ac:dyDescent="0.5">
      <c r="A773" t="s">
        <v>947</v>
      </c>
      <c r="B773" t="s">
        <v>1119</v>
      </c>
      <c r="C773" t="s">
        <v>1121</v>
      </c>
    </row>
    <row r="774" spans="1:3" x14ac:dyDescent="0.5">
      <c r="A774" t="s">
        <v>926</v>
      </c>
      <c r="B774">
        <v>1</v>
      </c>
      <c r="C774" t="s">
        <v>1121</v>
      </c>
    </row>
    <row r="775" spans="1:3" x14ac:dyDescent="0.5">
      <c r="A775" t="s">
        <v>1700</v>
      </c>
      <c r="B775">
        <v>2</v>
      </c>
      <c r="C775" t="s">
        <v>1120</v>
      </c>
    </row>
    <row r="776" spans="1:3" x14ac:dyDescent="0.5">
      <c r="A776" t="s">
        <v>1701</v>
      </c>
      <c r="B776">
        <v>2</v>
      </c>
      <c r="C776" t="s">
        <v>1136</v>
      </c>
    </row>
    <row r="777" spans="1:3" x14ac:dyDescent="0.5">
      <c r="A777" t="s">
        <v>1702</v>
      </c>
      <c r="B777">
        <v>2</v>
      </c>
      <c r="C777" t="s">
        <v>1278</v>
      </c>
    </row>
    <row r="778" spans="1:3" x14ac:dyDescent="0.5">
      <c r="A778" t="s">
        <v>1703</v>
      </c>
      <c r="B778">
        <v>2</v>
      </c>
      <c r="C778" t="s">
        <v>1114</v>
      </c>
    </row>
    <row r="779" spans="1:3" x14ac:dyDescent="0.5">
      <c r="A779" t="s">
        <v>1704</v>
      </c>
      <c r="B779">
        <v>2</v>
      </c>
      <c r="C779" t="s">
        <v>1126</v>
      </c>
    </row>
    <row r="780" spans="1:3" x14ac:dyDescent="0.5">
      <c r="A780" t="s">
        <v>1705</v>
      </c>
      <c r="B780">
        <v>1</v>
      </c>
      <c r="C780" t="s">
        <v>1121</v>
      </c>
    </row>
    <row r="781" spans="1:3" x14ac:dyDescent="0.5">
      <c r="A781" t="s">
        <v>1706</v>
      </c>
      <c r="B781">
        <v>1</v>
      </c>
      <c r="C781" t="s">
        <v>1159</v>
      </c>
    </row>
    <row r="782" spans="1:3" x14ac:dyDescent="0.5">
      <c r="A782" t="s">
        <v>1707</v>
      </c>
      <c r="B782">
        <v>1</v>
      </c>
      <c r="C782" t="s">
        <v>1136</v>
      </c>
    </row>
    <row r="783" spans="1:3" x14ac:dyDescent="0.5">
      <c r="A783" t="s">
        <v>1708</v>
      </c>
      <c r="B783">
        <v>3</v>
      </c>
      <c r="C783" t="s">
        <v>1142</v>
      </c>
    </row>
    <row r="784" spans="1:3" x14ac:dyDescent="0.5">
      <c r="A784" t="s">
        <v>1709</v>
      </c>
      <c r="B784">
        <v>2</v>
      </c>
      <c r="C784" t="s">
        <v>1121</v>
      </c>
    </row>
    <row r="785" spans="1:3" x14ac:dyDescent="0.5">
      <c r="A785" t="s">
        <v>1710</v>
      </c>
      <c r="B785">
        <v>1</v>
      </c>
      <c r="C785" t="s">
        <v>1147</v>
      </c>
    </row>
    <row r="786" spans="1:3" x14ac:dyDescent="0.5">
      <c r="A786" t="s">
        <v>853</v>
      </c>
      <c r="B786" t="s">
        <v>1119</v>
      </c>
      <c r="C786" t="s">
        <v>1121</v>
      </c>
    </row>
    <row r="787" spans="1:3" x14ac:dyDescent="0.5">
      <c r="A787" t="s">
        <v>841</v>
      </c>
      <c r="B787">
        <v>2</v>
      </c>
      <c r="C787" t="s">
        <v>1121</v>
      </c>
    </row>
    <row r="788" spans="1:3" x14ac:dyDescent="0.5">
      <c r="A788" t="s">
        <v>838</v>
      </c>
      <c r="B788" t="s">
        <v>1119</v>
      </c>
      <c r="C788" t="s">
        <v>1121</v>
      </c>
    </row>
    <row r="789" spans="1:3" x14ac:dyDescent="0.5">
      <c r="A789" t="s">
        <v>1711</v>
      </c>
      <c r="B789" t="s">
        <v>1119</v>
      </c>
      <c r="C789" t="s">
        <v>1121</v>
      </c>
    </row>
    <row r="790" spans="1:3" x14ac:dyDescent="0.5">
      <c r="A790" t="s">
        <v>844</v>
      </c>
      <c r="B790" t="s">
        <v>1119</v>
      </c>
      <c r="C790" t="s">
        <v>1121</v>
      </c>
    </row>
    <row r="791" spans="1:3" x14ac:dyDescent="0.5">
      <c r="A791" t="s">
        <v>845</v>
      </c>
      <c r="B791">
        <v>2</v>
      </c>
      <c r="C791" t="s">
        <v>1121</v>
      </c>
    </row>
    <row r="792" spans="1:3" x14ac:dyDescent="0.5">
      <c r="A792" t="s">
        <v>854</v>
      </c>
      <c r="B792">
        <v>1</v>
      </c>
      <c r="C792" t="s">
        <v>1121</v>
      </c>
    </row>
    <row r="793" spans="1:3" x14ac:dyDescent="0.5">
      <c r="A793" t="s">
        <v>856</v>
      </c>
      <c r="B793" t="s">
        <v>1119</v>
      </c>
      <c r="C793" t="s">
        <v>1121</v>
      </c>
    </row>
    <row r="794" spans="1:3" x14ac:dyDescent="0.5">
      <c r="A794" t="s">
        <v>1712</v>
      </c>
      <c r="B794">
        <v>2</v>
      </c>
      <c r="C794" t="s">
        <v>1125</v>
      </c>
    </row>
    <row r="795" spans="1:3" x14ac:dyDescent="0.5">
      <c r="A795" t="s">
        <v>1713</v>
      </c>
      <c r="B795">
        <v>2</v>
      </c>
      <c r="C795" t="s">
        <v>1131</v>
      </c>
    </row>
    <row r="796" spans="1:3" x14ac:dyDescent="0.5">
      <c r="A796" t="s">
        <v>1714</v>
      </c>
      <c r="B796">
        <v>2</v>
      </c>
      <c r="C796" t="s">
        <v>1131</v>
      </c>
    </row>
    <row r="797" spans="1:3" x14ac:dyDescent="0.5">
      <c r="A797" t="s">
        <v>1715</v>
      </c>
      <c r="B797">
        <v>1</v>
      </c>
      <c r="C797" t="s">
        <v>1278</v>
      </c>
    </row>
    <row r="798" spans="1:3" x14ac:dyDescent="0.5">
      <c r="A798" t="s">
        <v>1716</v>
      </c>
      <c r="B798">
        <v>1</v>
      </c>
      <c r="C798" t="s">
        <v>1131</v>
      </c>
    </row>
    <row r="799" spans="1:3" x14ac:dyDescent="0.5">
      <c r="A799" t="s">
        <v>1717</v>
      </c>
      <c r="B799">
        <v>3</v>
      </c>
      <c r="C799" t="s">
        <v>1142</v>
      </c>
    </row>
    <row r="800" spans="1:3" x14ac:dyDescent="0.5">
      <c r="A800" t="s">
        <v>1718</v>
      </c>
      <c r="B800">
        <v>3</v>
      </c>
      <c r="C800" t="s">
        <v>1142</v>
      </c>
    </row>
    <row r="801" spans="1:3" x14ac:dyDescent="0.5">
      <c r="A801" t="s">
        <v>1719</v>
      </c>
      <c r="B801">
        <v>2</v>
      </c>
      <c r="C801" t="s">
        <v>1131</v>
      </c>
    </row>
    <row r="802" spans="1:3" x14ac:dyDescent="0.5">
      <c r="A802" t="s">
        <v>1720</v>
      </c>
      <c r="B802">
        <v>1</v>
      </c>
      <c r="C802" t="s">
        <v>1126</v>
      </c>
    </row>
    <row r="803" spans="1:3" x14ac:dyDescent="0.5">
      <c r="A803" t="s">
        <v>753</v>
      </c>
      <c r="B803" t="s">
        <v>1119</v>
      </c>
      <c r="C803" t="s">
        <v>1125</v>
      </c>
    </row>
    <row r="804" spans="1:3" x14ac:dyDescent="0.5">
      <c r="A804" t="s">
        <v>1721</v>
      </c>
      <c r="B804">
        <v>3</v>
      </c>
      <c r="C804" t="s">
        <v>1122</v>
      </c>
    </row>
    <row r="805" spans="1:3" x14ac:dyDescent="0.5">
      <c r="A805" t="s">
        <v>1722</v>
      </c>
      <c r="B805">
        <v>1</v>
      </c>
      <c r="C805" t="s">
        <v>1121</v>
      </c>
    </row>
    <row r="806" spans="1:3" x14ac:dyDescent="0.5">
      <c r="A806" t="s">
        <v>1723</v>
      </c>
      <c r="B806">
        <v>2</v>
      </c>
      <c r="C806" t="s">
        <v>1126</v>
      </c>
    </row>
    <row r="807" spans="1:3" x14ac:dyDescent="0.5">
      <c r="A807" t="s">
        <v>1724</v>
      </c>
      <c r="B807">
        <v>1</v>
      </c>
      <c r="C807" t="s">
        <v>1136</v>
      </c>
    </row>
    <row r="808" spans="1:3" x14ac:dyDescent="0.5">
      <c r="A808" t="s">
        <v>1725</v>
      </c>
      <c r="B808">
        <v>2</v>
      </c>
      <c r="C808" t="s">
        <v>1136</v>
      </c>
    </row>
    <row r="809" spans="1:3" x14ac:dyDescent="0.5">
      <c r="A809" t="s">
        <v>1726</v>
      </c>
      <c r="B809">
        <v>2</v>
      </c>
      <c r="C809" t="s">
        <v>1131</v>
      </c>
    </row>
    <row r="810" spans="1:3" x14ac:dyDescent="0.5">
      <c r="A810" t="s">
        <v>1727</v>
      </c>
      <c r="B810">
        <v>2</v>
      </c>
      <c r="C810" t="s">
        <v>1120</v>
      </c>
    </row>
    <row r="811" spans="1:3" x14ac:dyDescent="0.5">
      <c r="A811" t="s">
        <v>1728</v>
      </c>
      <c r="B811" t="s">
        <v>1119</v>
      </c>
      <c r="C811" t="s">
        <v>1136</v>
      </c>
    </row>
    <row r="812" spans="1:3" x14ac:dyDescent="0.5">
      <c r="A812" t="s">
        <v>1729</v>
      </c>
      <c r="B812">
        <v>2</v>
      </c>
      <c r="C812" t="s">
        <v>1136</v>
      </c>
    </row>
    <row r="813" spans="1:3" x14ac:dyDescent="0.5">
      <c r="A813" t="s">
        <v>1730</v>
      </c>
      <c r="B813">
        <v>2</v>
      </c>
      <c r="C813" t="s">
        <v>1136</v>
      </c>
    </row>
    <row r="814" spans="1:3" x14ac:dyDescent="0.5">
      <c r="A814" t="s">
        <v>1731</v>
      </c>
      <c r="B814">
        <v>1</v>
      </c>
      <c r="C814" t="s">
        <v>1121</v>
      </c>
    </row>
    <row r="815" spans="1:3" x14ac:dyDescent="0.5">
      <c r="A815" t="s">
        <v>1732</v>
      </c>
      <c r="B815">
        <v>1</v>
      </c>
      <c r="C815" t="s">
        <v>1121</v>
      </c>
    </row>
    <row r="816" spans="1:3" x14ac:dyDescent="0.5">
      <c r="A816" t="s">
        <v>1733</v>
      </c>
      <c r="B816">
        <v>1</v>
      </c>
      <c r="C816" t="s">
        <v>1121</v>
      </c>
    </row>
    <row r="817" spans="1:3" x14ac:dyDescent="0.5">
      <c r="A817" t="s">
        <v>1734</v>
      </c>
      <c r="B817">
        <v>1</v>
      </c>
      <c r="C817" t="s">
        <v>1121</v>
      </c>
    </row>
    <row r="818" spans="1:3" x14ac:dyDescent="0.5">
      <c r="A818" t="s">
        <v>1735</v>
      </c>
      <c r="B818">
        <v>1</v>
      </c>
      <c r="C818" t="s">
        <v>1121</v>
      </c>
    </row>
    <row r="819" spans="1:3" x14ac:dyDescent="0.5">
      <c r="A819" t="s">
        <v>1736</v>
      </c>
      <c r="B819" t="s">
        <v>1119</v>
      </c>
      <c r="C819" t="s">
        <v>1121</v>
      </c>
    </row>
    <row r="820" spans="1:3" x14ac:dyDescent="0.5">
      <c r="A820" t="s">
        <v>1737</v>
      </c>
      <c r="B820">
        <v>1</v>
      </c>
      <c r="C820" t="s">
        <v>1121</v>
      </c>
    </row>
    <row r="821" spans="1:3" x14ac:dyDescent="0.5">
      <c r="A821" t="s">
        <v>1738</v>
      </c>
      <c r="B821" t="s">
        <v>1119</v>
      </c>
      <c r="C821" t="s">
        <v>1121</v>
      </c>
    </row>
    <row r="822" spans="1:3" x14ac:dyDescent="0.5">
      <c r="A822" t="s">
        <v>1739</v>
      </c>
      <c r="B822">
        <v>1</v>
      </c>
      <c r="C822" t="s">
        <v>1121</v>
      </c>
    </row>
    <row r="823" spans="1:3" x14ac:dyDescent="0.5">
      <c r="A823" t="s">
        <v>1052</v>
      </c>
      <c r="B823">
        <v>2</v>
      </c>
      <c r="C823" t="s">
        <v>1131</v>
      </c>
    </row>
    <row r="824" spans="1:3" x14ac:dyDescent="0.5">
      <c r="A824" t="s">
        <v>1740</v>
      </c>
      <c r="B824">
        <v>3</v>
      </c>
      <c r="C824" t="s">
        <v>1228</v>
      </c>
    </row>
    <row r="825" spans="1:3" x14ac:dyDescent="0.5">
      <c r="A825" t="s">
        <v>1741</v>
      </c>
      <c r="B825">
        <v>1</v>
      </c>
      <c r="C825" t="s">
        <v>1121</v>
      </c>
    </row>
    <row r="826" spans="1:3" x14ac:dyDescent="0.5">
      <c r="A826" t="s">
        <v>1742</v>
      </c>
      <c r="B826">
        <v>2</v>
      </c>
      <c r="C826" t="s">
        <v>1114</v>
      </c>
    </row>
    <row r="827" spans="1:3" x14ac:dyDescent="0.5">
      <c r="A827" t="s">
        <v>1743</v>
      </c>
      <c r="B827">
        <v>1</v>
      </c>
      <c r="C827" t="s">
        <v>1121</v>
      </c>
    </row>
    <row r="828" spans="1:3" x14ac:dyDescent="0.5">
      <c r="A828" t="s">
        <v>1744</v>
      </c>
      <c r="B828" t="s">
        <v>1119</v>
      </c>
      <c r="C828" t="s">
        <v>1136</v>
      </c>
    </row>
    <row r="829" spans="1:3" x14ac:dyDescent="0.5">
      <c r="A829" t="s">
        <v>1745</v>
      </c>
      <c r="B829" t="s">
        <v>1119</v>
      </c>
      <c r="C829" t="s">
        <v>1136</v>
      </c>
    </row>
    <row r="830" spans="1:3" x14ac:dyDescent="0.5">
      <c r="A830" t="s">
        <v>1746</v>
      </c>
      <c r="B830">
        <v>1</v>
      </c>
      <c r="C830" t="s">
        <v>1131</v>
      </c>
    </row>
    <row r="831" spans="1:3" x14ac:dyDescent="0.5">
      <c r="A831" t="s">
        <v>1747</v>
      </c>
      <c r="B831">
        <v>3</v>
      </c>
      <c r="C831" t="s">
        <v>1136</v>
      </c>
    </row>
    <row r="832" spans="1:3" x14ac:dyDescent="0.5">
      <c r="A832" t="s">
        <v>1748</v>
      </c>
      <c r="B832">
        <v>2</v>
      </c>
      <c r="C832" t="s">
        <v>1264</v>
      </c>
    </row>
    <row r="833" spans="1:3" x14ac:dyDescent="0.5">
      <c r="A833" t="s">
        <v>1749</v>
      </c>
      <c r="B833">
        <v>2</v>
      </c>
      <c r="C833" t="s">
        <v>1136</v>
      </c>
    </row>
    <row r="834" spans="1:3" x14ac:dyDescent="0.5">
      <c r="A834" t="s">
        <v>990</v>
      </c>
      <c r="B834">
        <v>1</v>
      </c>
      <c r="C834" t="s">
        <v>1131</v>
      </c>
    </row>
    <row r="835" spans="1:3" x14ac:dyDescent="0.5">
      <c r="A835" t="s">
        <v>1750</v>
      </c>
      <c r="B835">
        <v>2</v>
      </c>
      <c r="C835" t="s">
        <v>1121</v>
      </c>
    </row>
    <row r="836" spans="1:3" x14ac:dyDescent="0.5">
      <c r="A836" t="s">
        <v>1751</v>
      </c>
      <c r="B836" t="s">
        <v>1119</v>
      </c>
      <c r="C836" t="s">
        <v>1139</v>
      </c>
    </row>
    <row r="837" spans="1:3" x14ac:dyDescent="0.5">
      <c r="A837" t="s">
        <v>1752</v>
      </c>
      <c r="B837">
        <v>1</v>
      </c>
      <c r="C837" t="s">
        <v>1121</v>
      </c>
    </row>
    <row r="838" spans="1:3" x14ac:dyDescent="0.5">
      <c r="A838" t="s">
        <v>1753</v>
      </c>
      <c r="B838">
        <v>3</v>
      </c>
      <c r="C838" t="s">
        <v>1136</v>
      </c>
    </row>
    <row r="839" spans="1:3" x14ac:dyDescent="0.5">
      <c r="A839" t="s">
        <v>1754</v>
      </c>
      <c r="B839">
        <v>3</v>
      </c>
      <c r="C839" t="s">
        <v>1136</v>
      </c>
    </row>
    <row r="840" spans="1:3" x14ac:dyDescent="0.5">
      <c r="A840" t="s">
        <v>1755</v>
      </c>
      <c r="B840">
        <v>1</v>
      </c>
      <c r="C840" t="s">
        <v>1126</v>
      </c>
    </row>
    <row r="841" spans="1:3" x14ac:dyDescent="0.5">
      <c r="A841" t="s">
        <v>629</v>
      </c>
      <c r="B841">
        <v>1</v>
      </c>
      <c r="C841" t="s">
        <v>1126</v>
      </c>
    </row>
    <row r="842" spans="1:3" x14ac:dyDescent="0.5">
      <c r="A842" t="s">
        <v>1756</v>
      </c>
      <c r="B842">
        <v>2</v>
      </c>
      <c r="C842" t="s">
        <v>1131</v>
      </c>
    </row>
    <row r="843" spans="1:3" x14ac:dyDescent="0.5">
      <c r="A843" t="s">
        <v>1757</v>
      </c>
      <c r="B843" t="s">
        <v>1119</v>
      </c>
      <c r="C843" t="s">
        <v>1125</v>
      </c>
    </row>
    <row r="844" spans="1:3" x14ac:dyDescent="0.5">
      <c r="A844" t="s">
        <v>1758</v>
      </c>
      <c r="B844">
        <v>1</v>
      </c>
      <c r="C844" t="s">
        <v>1147</v>
      </c>
    </row>
    <row r="845" spans="1:3" x14ac:dyDescent="0.5">
      <c r="A845" t="s">
        <v>1759</v>
      </c>
      <c r="B845">
        <v>2</v>
      </c>
      <c r="C845" t="s">
        <v>1121</v>
      </c>
    </row>
    <row r="846" spans="1:3" x14ac:dyDescent="0.5">
      <c r="A846" t="s">
        <v>1760</v>
      </c>
      <c r="B846">
        <v>3</v>
      </c>
      <c r="C846" t="s">
        <v>1136</v>
      </c>
    </row>
    <row r="847" spans="1:3" x14ac:dyDescent="0.5">
      <c r="A847" t="s">
        <v>1047</v>
      </c>
      <c r="B847">
        <v>1</v>
      </c>
      <c r="C847" t="s">
        <v>1131</v>
      </c>
    </row>
    <row r="848" spans="1:3" x14ac:dyDescent="0.5">
      <c r="A848" t="s">
        <v>1761</v>
      </c>
      <c r="B848">
        <v>2</v>
      </c>
      <c r="C848" t="s">
        <v>1121</v>
      </c>
    </row>
    <row r="849" spans="1:3" x14ac:dyDescent="0.5">
      <c r="A849" t="s">
        <v>1762</v>
      </c>
      <c r="B849">
        <v>2</v>
      </c>
      <c r="C849" t="s">
        <v>1159</v>
      </c>
    </row>
    <row r="850" spans="1:3" x14ac:dyDescent="0.5">
      <c r="A850" t="s">
        <v>1763</v>
      </c>
      <c r="B850">
        <v>1</v>
      </c>
      <c r="C850" t="s">
        <v>1122</v>
      </c>
    </row>
    <row r="851" spans="1:3" x14ac:dyDescent="0.5">
      <c r="A851" t="s">
        <v>1764</v>
      </c>
      <c r="B851" t="s">
        <v>1119</v>
      </c>
      <c r="C851" t="s">
        <v>1128</v>
      </c>
    </row>
    <row r="852" spans="1:3" x14ac:dyDescent="0.5">
      <c r="A852" t="s">
        <v>1765</v>
      </c>
      <c r="B852">
        <v>1</v>
      </c>
      <c r="C852" t="s">
        <v>1120</v>
      </c>
    </row>
    <row r="853" spans="1:3" x14ac:dyDescent="0.5">
      <c r="A853" t="s">
        <v>1766</v>
      </c>
      <c r="B853">
        <v>1</v>
      </c>
      <c r="C853" t="s">
        <v>1125</v>
      </c>
    </row>
    <row r="854" spans="1:3" x14ac:dyDescent="0.5">
      <c r="A854" t="s">
        <v>1767</v>
      </c>
      <c r="B854">
        <v>2</v>
      </c>
      <c r="C854" t="s">
        <v>1126</v>
      </c>
    </row>
    <row r="855" spans="1:3" x14ac:dyDescent="0.5">
      <c r="A855" t="s">
        <v>1768</v>
      </c>
      <c r="B855">
        <v>2</v>
      </c>
      <c r="C855" t="s">
        <v>1114</v>
      </c>
    </row>
    <row r="856" spans="1:3" x14ac:dyDescent="0.5">
      <c r="A856" t="s">
        <v>1769</v>
      </c>
      <c r="B856">
        <v>1</v>
      </c>
      <c r="C856" t="s">
        <v>1273</v>
      </c>
    </row>
    <row r="857" spans="1:3" x14ac:dyDescent="0.5">
      <c r="A857" t="s">
        <v>1770</v>
      </c>
      <c r="B857">
        <v>1</v>
      </c>
      <c r="C857" t="s">
        <v>1120</v>
      </c>
    </row>
    <row r="858" spans="1:3" x14ac:dyDescent="0.5">
      <c r="A858" t="s">
        <v>1771</v>
      </c>
      <c r="B858">
        <v>1</v>
      </c>
      <c r="C858" t="s">
        <v>1128</v>
      </c>
    </row>
    <row r="859" spans="1:3" x14ac:dyDescent="0.5">
      <c r="A859" t="s">
        <v>1772</v>
      </c>
      <c r="B859">
        <v>1</v>
      </c>
      <c r="C859" t="s">
        <v>1273</v>
      </c>
    </row>
    <row r="860" spans="1:3" x14ac:dyDescent="0.5">
      <c r="A860" t="s">
        <v>1109</v>
      </c>
      <c r="B860">
        <v>2</v>
      </c>
      <c r="C860" t="s">
        <v>1126</v>
      </c>
    </row>
    <row r="861" spans="1:3" x14ac:dyDescent="0.5">
      <c r="A861" t="s">
        <v>1773</v>
      </c>
      <c r="B861" t="s">
        <v>1119</v>
      </c>
      <c r="C861" t="s">
        <v>1136</v>
      </c>
    </row>
    <row r="862" spans="1:3" x14ac:dyDescent="0.5">
      <c r="A862" t="s">
        <v>1774</v>
      </c>
      <c r="B862">
        <v>2</v>
      </c>
      <c r="C862" t="s">
        <v>1125</v>
      </c>
    </row>
    <row r="863" spans="1:3" x14ac:dyDescent="0.5">
      <c r="A863" t="s">
        <v>1775</v>
      </c>
      <c r="B863">
        <v>3</v>
      </c>
      <c r="C863" t="s">
        <v>1136</v>
      </c>
    </row>
    <row r="864" spans="1:3" x14ac:dyDescent="0.5">
      <c r="A864" t="s">
        <v>1776</v>
      </c>
      <c r="B864">
        <v>1</v>
      </c>
      <c r="C864" t="s">
        <v>1121</v>
      </c>
    </row>
    <row r="865" spans="1:3" x14ac:dyDescent="0.5">
      <c r="A865" t="s">
        <v>1777</v>
      </c>
      <c r="B865">
        <v>1</v>
      </c>
      <c r="C865" t="s">
        <v>1120</v>
      </c>
    </row>
    <row r="866" spans="1:3" x14ac:dyDescent="0.5">
      <c r="A866" t="s">
        <v>1778</v>
      </c>
      <c r="B866">
        <v>1</v>
      </c>
      <c r="C866" t="s">
        <v>1131</v>
      </c>
    </row>
    <row r="867" spans="1:3" x14ac:dyDescent="0.5">
      <c r="A867" t="s">
        <v>1779</v>
      </c>
      <c r="B867">
        <v>2</v>
      </c>
      <c r="C867" t="s">
        <v>1147</v>
      </c>
    </row>
    <row r="868" spans="1:3" x14ac:dyDescent="0.5">
      <c r="A868" t="s">
        <v>1780</v>
      </c>
      <c r="B868">
        <v>2</v>
      </c>
      <c r="C868" t="s">
        <v>1136</v>
      </c>
    </row>
    <row r="869" spans="1:3" x14ac:dyDescent="0.5">
      <c r="A869" t="s">
        <v>1781</v>
      </c>
      <c r="B869">
        <v>2</v>
      </c>
      <c r="C869" t="s">
        <v>1114</v>
      </c>
    </row>
    <row r="870" spans="1:3" x14ac:dyDescent="0.5">
      <c r="A870" t="s">
        <v>1782</v>
      </c>
      <c r="B870">
        <v>2</v>
      </c>
      <c r="C870" t="s">
        <v>1278</v>
      </c>
    </row>
    <row r="871" spans="1:3" x14ac:dyDescent="0.5">
      <c r="A871" t="s">
        <v>1783</v>
      </c>
      <c r="B871">
        <v>1</v>
      </c>
      <c r="C871" t="s">
        <v>1121</v>
      </c>
    </row>
    <row r="872" spans="1:3" x14ac:dyDescent="0.5">
      <c r="A872" t="s">
        <v>415</v>
      </c>
      <c r="B872">
        <v>1</v>
      </c>
      <c r="C872" t="s">
        <v>1273</v>
      </c>
    </row>
    <row r="873" spans="1:3" x14ac:dyDescent="0.5">
      <c r="A873" t="s">
        <v>1784</v>
      </c>
      <c r="B873">
        <v>1</v>
      </c>
      <c r="C873" t="s">
        <v>1126</v>
      </c>
    </row>
    <row r="874" spans="1:3" x14ac:dyDescent="0.5">
      <c r="A874" t="s">
        <v>1785</v>
      </c>
      <c r="B874">
        <v>2</v>
      </c>
      <c r="C874" t="s">
        <v>1121</v>
      </c>
    </row>
    <row r="875" spans="1:3" x14ac:dyDescent="0.5">
      <c r="A875" t="s">
        <v>1786</v>
      </c>
      <c r="B875">
        <v>1</v>
      </c>
      <c r="C875" t="s">
        <v>1278</v>
      </c>
    </row>
    <row r="876" spans="1:3" x14ac:dyDescent="0.5">
      <c r="A876" t="s">
        <v>1787</v>
      </c>
      <c r="B876">
        <v>4</v>
      </c>
      <c r="C876" t="s">
        <v>1120</v>
      </c>
    </row>
    <row r="877" spans="1:3" x14ac:dyDescent="0.5">
      <c r="A877" t="s">
        <v>887</v>
      </c>
      <c r="B877">
        <v>1</v>
      </c>
      <c r="C877" t="s">
        <v>1121</v>
      </c>
    </row>
    <row r="878" spans="1:3" x14ac:dyDescent="0.5">
      <c r="A878" t="s">
        <v>894</v>
      </c>
      <c r="B878" t="s">
        <v>1119</v>
      </c>
      <c r="C878" t="s">
        <v>1121</v>
      </c>
    </row>
    <row r="879" spans="1:3" x14ac:dyDescent="0.5">
      <c r="A879" t="s">
        <v>1788</v>
      </c>
      <c r="B879">
        <v>2</v>
      </c>
      <c r="C879" t="s">
        <v>1126</v>
      </c>
    </row>
    <row r="880" spans="1:3" x14ac:dyDescent="0.5">
      <c r="A880" t="s">
        <v>1789</v>
      </c>
      <c r="B880">
        <v>2</v>
      </c>
      <c r="C880" t="s">
        <v>1131</v>
      </c>
    </row>
    <row r="881" spans="1:3" x14ac:dyDescent="0.5">
      <c r="A881" t="s">
        <v>1790</v>
      </c>
      <c r="B881">
        <v>2</v>
      </c>
      <c r="C881" t="s">
        <v>1131</v>
      </c>
    </row>
    <row r="882" spans="1:3" x14ac:dyDescent="0.5">
      <c r="A882" t="s">
        <v>1791</v>
      </c>
      <c r="B882">
        <v>2</v>
      </c>
      <c r="C882" t="s">
        <v>1121</v>
      </c>
    </row>
    <row r="883" spans="1:3" x14ac:dyDescent="0.5">
      <c r="A883" t="s">
        <v>1792</v>
      </c>
      <c r="B883">
        <v>2</v>
      </c>
      <c r="C883" t="s">
        <v>1114</v>
      </c>
    </row>
    <row r="884" spans="1:3" x14ac:dyDescent="0.5">
      <c r="A884" t="s">
        <v>1793</v>
      </c>
      <c r="B884">
        <v>1</v>
      </c>
      <c r="C884" t="s">
        <v>1121</v>
      </c>
    </row>
    <row r="885" spans="1:3" x14ac:dyDescent="0.5">
      <c r="A885" t="s">
        <v>526</v>
      </c>
      <c r="B885">
        <v>2</v>
      </c>
      <c r="C885" t="s">
        <v>1114</v>
      </c>
    </row>
    <row r="886" spans="1:3" x14ac:dyDescent="0.5">
      <c r="A886" t="s">
        <v>813</v>
      </c>
      <c r="B886">
        <v>1</v>
      </c>
      <c r="C886" t="s">
        <v>1121</v>
      </c>
    </row>
    <row r="887" spans="1:3" x14ac:dyDescent="0.5">
      <c r="A887" t="s">
        <v>1794</v>
      </c>
      <c r="B887">
        <v>1</v>
      </c>
      <c r="C887" t="s">
        <v>1131</v>
      </c>
    </row>
    <row r="888" spans="1:3" x14ac:dyDescent="0.5">
      <c r="A888" t="s">
        <v>1795</v>
      </c>
      <c r="B888">
        <v>2</v>
      </c>
      <c r="C888" t="s">
        <v>1139</v>
      </c>
    </row>
    <row r="889" spans="1:3" x14ac:dyDescent="0.5">
      <c r="A889" t="s">
        <v>1796</v>
      </c>
      <c r="B889" t="s">
        <v>1119</v>
      </c>
      <c r="C889" t="s">
        <v>1136</v>
      </c>
    </row>
    <row r="890" spans="1:3" x14ac:dyDescent="0.5">
      <c r="A890" t="s">
        <v>1797</v>
      </c>
      <c r="B890">
        <v>2</v>
      </c>
      <c r="C890" t="s">
        <v>1278</v>
      </c>
    </row>
    <row r="891" spans="1:3" x14ac:dyDescent="0.5">
      <c r="A891" t="s">
        <v>1798</v>
      </c>
      <c r="B891">
        <v>3</v>
      </c>
      <c r="C891" t="s">
        <v>1120</v>
      </c>
    </row>
    <row r="892" spans="1:3" x14ac:dyDescent="0.5">
      <c r="A892" t="s">
        <v>1799</v>
      </c>
      <c r="B892">
        <v>1</v>
      </c>
      <c r="C892" t="s">
        <v>1273</v>
      </c>
    </row>
    <row r="893" spans="1:3" x14ac:dyDescent="0.5">
      <c r="A893" t="s">
        <v>1800</v>
      </c>
      <c r="B893">
        <v>1</v>
      </c>
      <c r="C893" t="s">
        <v>1142</v>
      </c>
    </row>
    <row r="894" spans="1:3" x14ac:dyDescent="0.5">
      <c r="A894" t="s">
        <v>1801</v>
      </c>
      <c r="B894">
        <v>2</v>
      </c>
      <c r="C894" t="s">
        <v>1278</v>
      </c>
    </row>
    <row r="895" spans="1:3" x14ac:dyDescent="0.5">
      <c r="A895" t="s">
        <v>1802</v>
      </c>
      <c r="B895">
        <v>2</v>
      </c>
      <c r="C895" t="s">
        <v>1125</v>
      </c>
    </row>
    <row r="896" spans="1:3" x14ac:dyDescent="0.5">
      <c r="A896" t="s">
        <v>1803</v>
      </c>
      <c r="B896" t="s">
        <v>1119</v>
      </c>
      <c r="C896" t="s">
        <v>1121</v>
      </c>
    </row>
    <row r="897" spans="1:3" x14ac:dyDescent="0.5">
      <c r="A897" t="s">
        <v>1804</v>
      </c>
      <c r="B897" t="s">
        <v>1119</v>
      </c>
      <c r="C897" t="s">
        <v>1121</v>
      </c>
    </row>
    <row r="898" spans="1:3" x14ac:dyDescent="0.5">
      <c r="A898" t="s">
        <v>1805</v>
      </c>
      <c r="B898" t="s">
        <v>1119</v>
      </c>
      <c r="C898" t="s">
        <v>1121</v>
      </c>
    </row>
    <row r="899" spans="1:3" x14ac:dyDescent="0.5">
      <c r="A899" t="s">
        <v>1806</v>
      </c>
      <c r="B899" t="s">
        <v>1119</v>
      </c>
      <c r="C899" t="s">
        <v>1121</v>
      </c>
    </row>
    <row r="900" spans="1:3" x14ac:dyDescent="0.5">
      <c r="A900" t="s">
        <v>1807</v>
      </c>
      <c r="B900">
        <v>2</v>
      </c>
      <c r="C900" t="s">
        <v>1121</v>
      </c>
    </row>
    <row r="901" spans="1:3" x14ac:dyDescent="0.5">
      <c r="A901" t="s">
        <v>1808</v>
      </c>
      <c r="B901">
        <v>1</v>
      </c>
      <c r="C901" t="s">
        <v>1121</v>
      </c>
    </row>
    <row r="902" spans="1:3" x14ac:dyDescent="0.5">
      <c r="A902" t="s">
        <v>1809</v>
      </c>
      <c r="B902">
        <v>4</v>
      </c>
      <c r="C902" t="s">
        <v>1131</v>
      </c>
    </row>
    <row r="903" spans="1:3" x14ac:dyDescent="0.5">
      <c r="A903" t="s">
        <v>1810</v>
      </c>
      <c r="B903" t="s">
        <v>1119</v>
      </c>
      <c r="C903" t="s">
        <v>1136</v>
      </c>
    </row>
    <row r="904" spans="1:3" x14ac:dyDescent="0.5">
      <c r="A904" t="s">
        <v>1811</v>
      </c>
      <c r="B904">
        <v>2</v>
      </c>
      <c r="C904" t="s">
        <v>1159</v>
      </c>
    </row>
    <row r="905" spans="1:3" x14ac:dyDescent="0.5">
      <c r="A905" t="s">
        <v>1812</v>
      </c>
      <c r="B905" t="s">
        <v>1119</v>
      </c>
      <c r="C905" t="s">
        <v>1121</v>
      </c>
    </row>
    <row r="906" spans="1:3" x14ac:dyDescent="0.5">
      <c r="A906" t="s">
        <v>1813</v>
      </c>
      <c r="B906" t="s">
        <v>1119</v>
      </c>
      <c r="C906" t="s">
        <v>1121</v>
      </c>
    </row>
    <row r="907" spans="1:3" x14ac:dyDescent="0.5">
      <c r="A907" t="s">
        <v>1814</v>
      </c>
      <c r="B907">
        <v>3</v>
      </c>
      <c r="C907" t="s">
        <v>1528</v>
      </c>
    </row>
    <row r="908" spans="1:3" x14ac:dyDescent="0.5">
      <c r="A908" t="s">
        <v>1815</v>
      </c>
      <c r="B908">
        <v>2</v>
      </c>
      <c r="C908" t="s">
        <v>1127</v>
      </c>
    </row>
    <row r="909" spans="1:3" x14ac:dyDescent="0.5">
      <c r="A909" t="s">
        <v>1816</v>
      </c>
      <c r="B909">
        <v>2</v>
      </c>
      <c r="C909" t="s">
        <v>1121</v>
      </c>
    </row>
    <row r="910" spans="1:3" x14ac:dyDescent="0.5">
      <c r="A910" t="s">
        <v>1817</v>
      </c>
      <c r="B910">
        <v>3</v>
      </c>
      <c r="C910" t="s">
        <v>1121</v>
      </c>
    </row>
    <row r="911" spans="1:3" x14ac:dyDescent="0.5">
      <c r="A911" t="s">
        <v>1069</v>
      </c>
      <c r="B911" t="s">
        <v>1119</v>
      </c>
      <c r="C911" t="s">
        <v>1120</v>
      </c>
    </row>
    <row r="912" spans="1:3" x14ac:dyDescent="0.5">
      <c r="A912" t="s">
        <v>1818</v>
      </c>
      <c r="B912">
        <v>1</v>
      </c>
      <c r="C912" t="s">
        <v>1125</v>
      </c>
    </row>
    <row r="913" spans="1:3" x14ac:dyDescent="0.5">
      <c r="A913" t="s">
        <v>1819</v>
      </c>
      <c r="B913" t="s">
        <v>1119</v>
      </c>
      <c r="C913" t="s">
        <v>1278</v>
      </c>
    </row>
    <row r="914" spans="1:3" x14ac:dyDescent="0.5">
      <c r="A914" t="s">
        <v>1820</v>
      </c>
      <c r="B914">
        <v>2</v>
      </c>
      <c r="C914" t="s">
        <v>1278</v>
      </c>
    </row>
    <row r="915" spans="1:3" x14ac:dyDescent="0.5">
      <c r="A915" t="s">
        <v>1821</v>
      </c>
      <c r="B915">
        <v>1</v>
      </c>
      <c r="C915" t="s">
        <v>1131</v>
      </c>
    </row>
    <row r="916" spans="1:3" x14ac:dyDescent="0.5">
      <c r="A916" t="s">
        <v>1822</v>
      </c>
      <c r="B916">
        <v>3</v>
      </c>
      <c r="C916" t="s">
        <v>1249</v>
      </c>
    </row>
    <row r="917" spans="1:3" x14ac:dyDescent="0.5">
      <c r="A917" t="s">
        <v>1823</v>
      </c>
      <c r="B917" t="s">
        <v>1119</v>
      </c>
      <c r="C917" t="s">
        <v>1121</v>
      </c>
    </row>
    <row r="918" spans="1:3" x14ac:dyDescent="0.5">
      <c r="A918" t="s">
        <v>1797</v>
      </c>
      <c r="B918">
        <v>2</v>
      </c>
      <c r="C918" t="s">
        <v>1136</v>
      </c>
    </row>
    <row r="919" spans="1:3" x14ac:dyDescent="0.5">
      <c r="A919" t="s">
        <v>1824</v>
      </c>
      <c r="B919">
        <v>1</v>
      </c>
      <c r="C919" t="s">
        <v>1128</v>
      </c>
    </row>
    <row r="920" spans="1:3" x14ac:dyDescent="0.5">
      <c r="A920" t="s">
        <v>1825</v>
      </c>
      <c r="B920">
        <v>2</v>
      </c>
      <c r="C920" t="s">
        <v>1126</v>
      </c>
    </row>
    <row r="921" spans="1:3" x14ac:dyDescent="0.5">
      <c r="A921" t="s">
        <v>1826</v>
      </c>
      <c r="B921">
        <v>3</v>
      </c>
      <c r="C921" t="s">
        <v>1136</v>
      </c>
    </row>
    <row r="922" spans="1:3" x14ac:dyDescent="0.5">
      <c r="A922" t="s">
        <v>1827</v>
      </c>
      <c r="B922">
        <v>1</v>
      </c>
      <c r="C922" t="s">
        <v>1139</v>
      </c>
    </row>
    <row r="923" spans="1:3" x14ac:dyDescent="0.5">
      <c r="A923" t="s">
        <v>1059</v>
      </c>
      <c r="B923">
        <v>2</v>
      </c>
      <c r="C923" t="s">
        <v>1125</v>
      </c>
    </row>
    <row r="924" spans="1:3" x14ac:dyDescent="0.5">
      <c r="A924" t="s">
        <v>1828</v>
      </c>
      <c r="B924">
        <v>1</v>
      </c>
      <c r="C924" t="s">
        <v>1125</v>
      </c>
    </row>
    <row r="925" spans="1:3" x14ac:dyDescent="0.5">
      <c r="A925" t="s">
        <v>1829</v>
      </c>
      <c r="B925">
        <v>3</v>
      </c>
      <c r="C925" t="s">
        <v>1141</v>
      </c>
    </row>
    <row r="926" spans="1:3" x14ac:dyDescent="0.5">
      <c r="A926" t="s">
        <v>1830</v>
      </c>
      <c r="B926" t="s">
        <v>1119</v>
      </c>
      <c r="C926" t="s">
        <v>1121</v>
      </c>
    </row>
    <row r="927" spans="1:3" x14ac:dyDescent="0.5">
      <c r="A927" t="s">
        <v>1831</v>
      </c>
      <c r="B927">
        <v>1</v>
      </c>
      <c r="C927" t="s">
        <v>1121</v>
      </c>
    </row>
    <row r="928" spans="1:3" x14ac:dyDescent="0.5">
      <c r="A928" t="s">
        <v>1832</v>
      </c>
      <c r="B928">
        <v>1</v>
      </c>
      <c r="C928" t="s">
        <v>1126</v>
      </c>
    </row>
    <row r="929" spans="1:3" x14ac:dyDescent="0.5">
      <c r="A929" t="s">
        <v>1833</v>
      </c>
      <c r="B929">
        <v>1</v>
      </c>
      <c r="C929" t="s">
        <v>1121</v>
      </c>
    </row>
    <row r="930" spans="1:3" x14ac:dyDescent="0.5">
      <c r="A930" t="s">
        <v>1834</v>
      </c>
      <c r="B930">
        <v>1</v>
      </c>
      <c r="C930" t="s">
        <v>1120</v>
      </c>
    </row>
    <row r="931" spans="1:3" x14ac:dyDescent="0.5">
      <c r="A931" t="s">
        <v>1835</v>
      </c>
      <c r="B931">
        <v>1</v>
      </c>
      <c r="C931" t="s">
        <v>1278</v>
      </c>
    </row>
    <row r="932" spans="1:3" x14ac:dyDescent="0.5">
      <c r="A932" t="s">
        <v>1836</v>
      </c>
      <c r="B932">
        <v>2</v>
      </c>
      <c r="C932" t="s">
        <v>1121</v>
      </c>
    </row>
    <row r="933" spans="1:3" x14ac:dyDescent="0.5">
      <c r="A933" t="s">
        <v>1837</v>
      </c>
      <c r="B933" t="s">
        <v>1119</v>
      </c>
      <c r="C933" t="s">
        <v>1121</v>
      </c>
    </row>
    <row r="934" spans="1:3" x14ac:dyDescent="0.5">
      <c r="A934" t="s">
        <v>1838</v>
      </c>
      <c r="B934">
        <v>1</v>
      </c>
      <c r="C934" t="s">
        <v>1125</v>
      </c>
    </row>
    <row r="935" spans="1:3" x14ac:dyDescent="0.5">
      <c r="A935" t="s">
        <v>1839</v>
      </c>
      <c r="B935">
        <v>2</v>
      </c>
      <c r="C935" t="s">
        <v>1126</v>
      </c>
    </row>
    <row r="936" spans="1:3" x14ac:dyDescent="0.5">
      <c r="A936" t="s">
        <v>1840</v>
      </c>
      <c r="B936" t="s">
        <v>1146</v>
      </c>
      <c r="C936" t="s">
        <v>1126</v>
      </c>
    </row>
    <row r="937" spans="1:3" x14ac:dyDescent="0.5">
      <c r="A937" t="s">
        <v>1841</v>
      </c>
      <c r="B937">
        <v>2</v>
      </c>
      <c r="C937" t="s">
        <v>1121</v>
      </c>
    </row>
    <row r="938" spans="1:3" x14ac:dyDescent="0.5">
      <c r="A938" t="s">
        <v>1842</v>
      </c>
      <c r="B938">
        <v>1</v>
      </c>
      <c r="C938" t="s">
        <v>1117</v>
      </c>
    </row>
    <row r="939" spans="1:3" x14ac:dyDescent="0.5">
      <c r="A939" t="s">
        <v>1843</v>
      </c>
      <c r="B939">
        <v>2</v>
      </c>
      <c r="C939" t="s">
        <v>1136</v>
      </c>
    </row>
    <row r="940" spans="1:3" x14ac:dyDescent="0.5">
      <c r="A940" t="s">
        <v>1844</v>
      </c>
      <c r="B940">
        <v>2</v>
      </c>
      <c r="C940" t="s">
        <v>1121</v>
      </c>
    </row>
    <row r="941" spans="1:3" x14ac:dyDescent="0.5">
      <c r="A941" t="s">
        <v>1845</v>
      </c>
      <c r="B941">
        <v>2</v>
      </c>
      <c r="C941" t="s">
        <v>1120</v>
      </c>
    </row>
    <row r="942" spans="1:3" x14ac:dyDescent="0.5">
      <c r="A942" t="s">
        <v>1846</v>
      </c>
      <c r="B942">
        <v>1</v>
      </c>
      <c r="C942" t="s">
        <v>1131</v>
      </c>
    </row>
    <row r="943" spans="1:3" x14ac:dyDescent="0.5">
      <c r="A943" t="s">
        <v>1847</v>
      </c>
      <c r="B943">
        <v>3</v>
      </c>
      <c r="C943" t="s">
        <v>1136</v>
      </c>
    </row>
    <row r="944" spans="1:3" x14ac:dyDescent="0.5">
      <c r="A944" t="s">
        <v>1848</v>
      </c>
      <c r="B944">
        <v>1</v>
      </c>
      <c r="C944" t="s">
        <v>1121</v>
      </c>
    </row>
    <row r="945" spans="1:3" x14ac:dyDescent="0.5">
      <c r="A945" t="s">
        <v>1849</v>
      </c>
      <c r="B945">
        <v>1</v>
      </c>
      <c r="C945" t="s">
        <v>1120</v>
      </c>
    </row>
    <row r="946" spans="1:3" x14ac:dyDescent="0.5">
      <c r="A946" t="s">
        <v>1850</v>
      </c>
      <c r="B946">
        <v>1</v>
      </c>
      <c r="C946" t="s">
        <v>1136</v>
      </c>
    </row>
    <row r="947" spans="1:3" x14ac:dyDescent="0.5">
      <c r="A947" t="s">
        <v>1851</v>
      </c>
      <c r="B947">
        <v>1</v>
      </c>
      <c r="C947" t="s">
        <v>1131</v>
      </c>
    </row>
    <row r="948" spans="1:3" x14ac:dyDescent="0.5">
      <c r="A948" t="s">
        <v>1852</v>
      </c>
      <c r="B948">
        <v>2</v>
      </c>
      <c r="C948" t="s">
        <v>1126</v>
      </c>
    </row>
    <row r="949" spans="1:3" x14ac:dyDescent="0.5">
      <c r="A949" t="s">
        <v>482</v>
      </c>
      <c r="B949">
        <v>2</v>
      </c>
      <c r="C949" t="s">
        <v>1159</v>
      </c>
    </row>
    <row r="950" spans="1:3" x14ac:dyDescent="0.5">
      <c r="A950" t="s">
        <v>1853</v>
      </c>
      <c r="B950" t="s">
        <v>1119</v>
      </c>
      <c r="C950" t="s">
        <v>1273</v>
      </c>
    </row>
    <row r="951" spans="1:3" x14ac:dyDescent="0.5">
      <c r="A951" t="s">
        <v>1854</v>
      </c>
      <c r="B951">
        <v>3</v>
      </c>
      <c r="C951" t="s">
        <v>1114</v>
      </c>
    </row>
    <row r="952" spans="1:3" x14ac:dyDescent="0.5">
      <c r="A952" t="s">
        <v>1855</v>
      </c>
      <c r="B952" t="s">
        <v>1119</v>
      </c>
      <c r="C952" t="s">
        <v>1125</v>
      </c>
    </row>
    <row r="953" spans="1:3" x14ac:dyDescent="0.5">
      <c r="A953" t="s">
        <v>1856</v>
      </c>
      <c r="B953">
        <v>1</v>
      </c>
      <c r="C953" t="s">
        <v>1117</v>
      </c>
    </row>
    <row r="954" spans="1:3" x14ac:dyDescent="0.5">
      <c r="A954" t="s">
        <v>1857</v>
      </c>
      <c r="B954">
        <v>4</v>
      </c>
      <c r="C954" t="s">
        <v>1122</v>
      </c>
    </row>
    <row r="955" spans="1:3" x14ac:dyDescent="0.5">
      <c r="A955" t="s">
        <v>1858</v>
      </c>
      <c r="B955">
        <v>3</v>
      </c>
      <c r="C955" t="s">
        <v>1121</v>
      </c>
    </row>
    <row r="956" spans="1:3" x14ac:dyDescent="0.5">
      <c r="A956" t="s">
        <v>1859</v>
      </c>
      <c r="B956">
        <v>3</v>
      </c>
      <c r="C956" t="s">
        <v>1114</v>
      </c>
    </row>
    <row r="957" spans="1:3" x14ac:dyDescent="0.5">
      <c r="A957" t="s">
        <v>1860</v>
      </c>
      <c r="B957">
        <v>1</v>
      </c>
      <c r="C957" t="s">
        <v>1120</v>
      </c>
    </row>
    <row r="958" spans="1:3" x14ac:dyDescent="0.5">
      <c r="A958" t="s">
        <v>1861</v>
      </c>
      <c r="B958">
        <v>2</v>
      </c>
      <c r="C958" t="s">
        <v>1136</v>
      </c>
    </row>
    <row r="959" spans="1:3" x14ac:dyDescent="0.5">
      <c r="A959" t="s">
        <v>704</v>
      </c>
      <c r="B959">
        <v>3</v>
      </c>
      <c r="C959" t="s">
        <v>1136</v>
      </c>
    </row>
    <row r="960" spans="1:3" x14ac:dyDescent="0.5">
      <c r="A960" t="s">
        <v>1862</v>
      </c>
      <c r="B960">
        <v>1</v>
      </c>
      <c r="C960" t="s">
        <v>1121</v>
      </c>
    </row>
    <row r="961" spans="1:3" x14ac:dyDescent="0.5">
      <c r="A961" t="s">
        <v>1863</v>
      </c>
      <c r="B961" t="s">
        <v>1146</v>
      </c>
      <c r="C961" t="s">
        <v>1121</v>
      </c>
    </row>
    <row r="962" spans="1:3" x14ac:dyDescent="0.5">
      <c r="A962" t="s">
        <v>1864</v>
      </c>
      <c r="B962">
        <v>2</v>
      </c>
      <c r="C962" t="s">
        <v>1120</v>
      </c>
    </row>
    <row r="963" spans="1:3" x14ac:dyDescent="0.5">
      <c r="A963" t="s">
        <v>1865</v>
      </c>
      <c r="B963">
        <v>1</v>
      </c>
      <c r="C963" t="s">
        <v>1147</v>
      </c>
    </row>
    <row r="964" spans="1:3" x14ac:dyDescent="0.5">
      <c r="A964" t="s">
        <v>1866</v>
      </c>
      <c r="B964">
        <v>4</v>
      </c>
      <c r="C964" t="s">
        <v>1147</v>
      </c>
    </row>
    <row r="965" spans="1:3" x14ac:dyDescent="0.5">
      <c r="A965" t="s">
        <v>1867</v>
      </c>
      <c r="B965">
        <v>1</v>
      </c>
      <c r="C965" t="s">
        <v>1159</v>
      </c>
    </row>
    <row r="966" spans="1:3" x14ac:dyDescent="0.5">
      <c r="A966" t="s">
        <v>1868</v>
      </c>
      <c r="B966">
        <v>2</v>
      </c>
      <c r="C966" t="s">
        <v>1120</v>
      </c>
    </row>
    <row r="967" spans="1:3" x14ac:dyDescent="0.5">
      <c r="A967" t="s">
        <v>1869</v>
      </c>
      <c r="B967">
        <v>2</v>
      </c>
      <c r="C967" t="s">
        <v>1114</v>
      </c>
    </row>
    <row r="968" spans="1:3" x14ac:dyDescent="0.5">
      <c r="A968" t="s">
        <v>1870</v>
      </c>
      <c r="B968">
        <v>1</v>
      </c>
      <c r="C968" t="s">
        <v>1121</v>
      </c>
    </row>
    <row r="969" spans="1:3" x14ac:dyDescent="0.5">
      <c r="A969" t="s">
        <v>1871</v>
      </c>
      <c r="B969">
        <v>1</v>
      </c>
      <c r="C969" t="s">
        <v>1120</v>
      </c>
    </row>
    <row r="970" spans="1:3" x14ac:dyDescent="0.5">
      <c r="A970" t="s">
        <v>1869</v>
      </c>
      <c r="B970">
        <v>1</v>
      </c>
      <c r="C970" t="s">
        <v>1114</v>
      </c>
    </row>
    <row r="971" spans="1:3" x14ac:dyDescent="0.5">
      <c r="A971" t="s">
        <v>1872</v>
      </c>
      <c r="B971" t="s">
        <v>1119</v>
      </c>
      <c r="C971" t="s">
        <v>1126</v>
      </c>
    </row>
    <row r="972" spans="1:3" x14ac:dyDescent="0.5">
      <c r="A972" t="s">
        <v>1873</v>
      </c>
      <c r="B972">
        <v>1</v>
      </c>
      <c r="C972" t="s">
        <v>1120</v>
      </c>
    </row>
    <row r="973" spans="1:3" x14ac:dyDescent="0.5">
      <c r="A973" t="s">
        <v>1874</v>
      </c>
      <c r="B973">
        <v>2</v>
      </c>
      <c r="C973" t="s">
        <v>1120</v>
      </c>
    </row>
    <row r="974" spans="1:3" x14ac:dyDescent="0.5">
      <c r="A974" t="s">
        <v>1875</v>
      </c>
      <c r="B974">
        <v>1</v>
      </c>
      <c r="C974" t="s">
        <v>1125</v>
      </c>
    </row>
    <row r="975" spans="1:3" x14ac:dyDescent="0.5">
      <c r="A975" t="s">
        <v>1876</v>
      </c>
      <c r="B975" t="s">
        <v>1119</v>
      </c>
      <c r="C975" t="s">
        <v>1114</v>
      </c>
    </row>
    <row r="976" spans="1:3" x14ac:dyDescent="0.5">
      <c r="A976" t="s">
        <v>1877</v>
      </c>
      <c r="B976">
        <v>3</v>
      </c>
      <c r="C976" t="s">
        <v>1142</v>
      </c>
    </row>
    <row r="977" spans="1:3" x14ac:dyDescent="0.5">
      <c r="A977" t="s">
        <v>1878</v>
      </c>
      <c r="B977">
        <v>2</v>
      </c>
      <c r="C977" t="s">
        <v>1273</v>
      </c>
    </row>
    <row r="978" spans="1:3" x14ac:dyDescent="0.5">
      <c r="A978" t="s">
        <v>1879</v>
      </c>
      <c r="B978">
        <v>1</v>
      </c>
      <c r="C978" t="s">
        <v>1131</v>
      </c>
    </row>
    <row r="979" spans="1:3" x14ac:dyDescent="0.5">
      <c r="A979" t="s">
        <v>1880</v>
      </c>
      <c r="B979">
        <v>2</v>
      </c>
      <c r="C979" t="s">
        <v>1114</v>
      </c>
    </row>
    <row r="980" spans="1:3" x14ac:dyDescent="0.5">
      <c r="A980" t="s">
        <v>1869</v>
      </c>
      <c r="B980">
        <v>1</v>
      </c>
      <c r="C980" t="s">
        <v>1114</v>
      </c>
    </row>
    <row r="981" spans="1:3" x14ac:dyDescent="0.5">
      <c r="A981" t="s">
        <v>1869</v>
      </c>
      <c r="B981">
        <v>1</v>
      </c>
      <c r="C981" t="s">
        <v>1114</v>
      </c>
    </row>
    <row r="982" spans="1:3" x14ac:dyDescent="0.5">
      <c r="A982" t="s">
        <v>1881</v>
      </c>
      <c r="B982">
        <v>1</v>
      </c>
      <c r="C982" t="s">
        <v>1278</v>
      </c>
    </row>
    <row r="983" spans="1:3" x14ac:dyDescent="0.5">
      <c r="A983" t="s">
        <v>1882</v>
      </c>
      <c r="B983">
        <v>2</v>
      </c>
      <c r="C983" t="s">
        <v>1136</v>
      </c>
    </row>
    <row r="984" spans="1:3" x14ac:dyDescent="0.5">
      <c r="A984" t="s">
        <v>1883</v>
      </c>
      <c r="B984">
        <v>1</v>
      </c>
      <c r="C984" t="s">
        <v>1131</v>
      </c>
    </row>
    <row r="985" spans="1:3" x14ac:dyDescent="0.5">
      <c r="A985" t="s">
        <v>1884</v>
      </c>
      <c r="B985">
        <v>1</v>
      </c>
      <c r="C985" t="s">
        <v>1121</v>
      </c>
    </row>
    <row r="986" spans="1:3" x14ac:dyDescent="0.5">
      <c r="A986" t="s">
        <v>1885</v>
      </c>
      <c r="B986">
        <v>2</v>
      </c>
      <c r="C986" t="s">
        <v>1159</v>
      </c>
    </row>
    <row r="987" spans="1:3" x14ac:dyDescent="0.5">
      <c r="A987" t="s">
        <v>1886</v>
      </c>
      <c r="B987">
        <v>2</v>
      </c>
      <c r="C987" t="s">
        <v>1150</v>
      </c>
    </row>
    <row r="988" spans="1:3" x14ac:dyDescent="0.5">
      <c r="A988" t="s">
        <v>1887</v>
      </c>
      <c r="B988">
        <v>2</v>
      </c>
      <c r="C988" t="s">
        <v>1120</v>
      </c>
    </row>
    <row r="989" spans="1:3" x14ac:dyDescent="0.5">
      <c r="A989" t="s">
        <v>1888</v>
      </c>
      <c r="B989">
        <v>1</v>
      </c>
      <c r="C989" t="s">
        <v>1147</v>
      </c>
    </row>
    <row r="990" spans="1:3" x14ac:dyDescent="0.5">
      <c r="A990" t="s">
        <v>1889</v>
      </c>
      <c r="B990">
        <v>1</v>
      </c>
      <c r="C990" t="s">
        <v>1126</v>
      </c>
    </row>
    <row r="991" spans="1:3" x14ac:dyDescent="0.5">
      <c r="A991" t="s">
        <v>1890</v>
      </c>
      <c r="B991">
        <v>1</v>
      </c>
      <c r="C991" t="s">
        <v>1278</v>
      </c>
    </row>
    <row r="992" spans="1:3" x14ac:dyDescent="0.5">
      <c r="A992" t="s">
        <v>1891</v>
      </c>
      <c r="B992">
        <v>1</v>
      </c>
      <c r="C992" t="s">
        <v>1114</v>
      </c>
    </row>
    <row r="993" spans="1:3" x14ac:dyDescent="0.5">
      <c r="A993" t="s">
        <v>1892</v>
      </c>
      <c r="B993" t="s">
        <v>1146</v>
      </c>
      <c r="C993" t="s">
        <v>1114</v>
      </c>
    </row>
    <row r="994" spans="1:3" x14ac:dyDescent="0.5">
      <c r="A994" t="s">
        <v>1893</v>
      </c>
      <c r="B994">
        <v>1</v>
      </c>
      <c r="C994" t="s">
        <v>1120</v>
      </c>
    </row>
    <row r="995" spans="1:3" x14ac:dyDescent="0.5">
      <c r="A995" t="s">
        <v>1894</v>
      </c>
      <c r="B995">
        <v>3</v>
      </c>
      <c r="C995" t="s">
        <v>1136</v>
      </c>
    </row>
    <row r="996" spans="1:3" x14ac:dyDescent="0.5">
      <c r="A996" t="s">
        <v>1895</v>
      </c>
      <c r="B996">
        <v>2</v>
      </c>
      <c r="C996" t="s">
        <v>1142</v>
      </c>
    </row>
    <row r="997" spans="1:3" x14ac:dyDescent="0.5">
      <c r="A997" t="s">
        <v>1896</v>
      </c>
      <c r="B997">
        <v>2</v>
      </c>
      <c r="C997" t="s">
        <v>1120</v>
      </c>
    </row>
    <row r="998" spans="1:3" x14ac:dyDescent="0.5">
      <c r="A998" t="s">
        <v>1897</v>
      </c>
      <c r="B998">
        <v>2</v>
      </c>
      <c r="C998" t="s">
        <v>1278</v>
      </c>
    </row>
    <row r="999" spans="1:3" x14ac:dyDescent="0.5">
      <c r="A999" t="s">
        <v>1898</v>
      </c>
      <c r="B999">
        <v>1</v>
      </c>
      <c r="C999" t="s">
        <v>1120</v>
      </c>
    </row>
    <row r="1000" spans="1:3" x14ac:dyDescent="0.5">
      <c r="A1000" t="s">
        <v>966</v>
      </c>
      <c r="B1000">
        <v>1</v>
      </c>
      <c r="C1000" t="s">
        <v>1121</v>
      </c>
    </row>
    <row r="1001" spans="1:3" x14ac:dyDescent="0.5">
      <c r="A1001" t="s">
        <v>161</v>
      </c>
      <c r="B1001">
        <v>2</v>
      </c>
      <c r="C1001" t="s">
        <v>1278</v>
      </c>
    </row>
    <row r="1002" spans="1:3" x14ac:dyDescent="0.5">
      <c r="A1002" t="s">
        <v>1899</v>
      </c>
      <c r="B1002">
        <v>1</v>
      </c>
      <c r="C1002" t="s">
        <v>1125</v>
      </c>
    </row>
    <row r="1003" spans="1:3" x14ac:dyDescent="0.5">
      <c r="A1003" t="s">
        <v>1900</v>
      </c>
      <c r="B1003">
        <v>4</v>
      </c>
      <c r="C1003" t="s">
        <v>1228</v>
      </c>
    </row>
    <row r="1004" spans="1:3" x14ac:dyDescent="0.5">
      <c r="A1004" t="s">
        <v>1901</v>
      </c>
      <c r="B1004">
        <v>1</v>
      </c>
      <c r="C1004" t="s">
        <v>1121</v>
      </c>
    </row>
    <row r="1005" spans="1:3" x14ac:dyDescent="0.5">
      <c r="A1005" t="s">
        <v>1902</v>
      </c>
      <c r="B1005">
        <v>1</v>
      </c>
      <c r="C1005" t="s">
        <v>1278</v>
      </c>
    </row>
    <row r="1006" spans="1:3" x14ac:dyDescent="0.5">
      <c r="A1006" t="s">
        <v>1903</v>
      </c>
      <c r="B1006">
        <v>1</v>
      </c>
      <c r="C1006" t="s">
        <v>1125</v>
      </c>
    </row>
    <row r="1007" spans="1:3" x14ac:dyDescent="0.5">
      <c r="A1007" t="s">
        <v>1904</v>
      </c>
      <c r="B1007">
        <v>1</v>
      </c>
      <c r="C1007" t="s">
        <v>1125</v>
      </c>
    </row>
    <row r="1008" spans="1:3" x14ac:dyDescent="0.5">
      <c r="A1008" t="s">
        <v>1905</v>
      </c>
      <c r="B1008">
        <v>1</v>
      </c>
      <c r="C1008" t="s">
        <v>1131</v>
      </c>
    </row>
    <row r="1009" spans="1:3" x14ac:dyDescent="0.5">
      <c r="A1009" t="s">
        <v>1906</v>
      </c>
      <c r="B1009" t="s">
        <v>1119</v>
      </c>
      <c r="C1009" t="s">
        <v>1128</v>
      </c>
    </row>
    <row r="1010" spans="1:3" x14ac:dyDescent="0.5">
      <c r="A1010" t="s">
        <v>1907</v>
      </c>
      <c r="B1010">
        <v>2</v>
      </c>
      <c r="C1010" t="s">
        <v>1159</v>
      </c>
    </row>
    <row r="1011" spans="1:3" x14ac:dyDescent="0.5">
      <c r="A1011" t="s">
        <v>771</v>
      </c>
      <c r="B1011">
        <v>1</v>
      </c>
      <c r="C1011" t="s">
        <v>1125</v>
      </c>
    </row>
    <row r="1012" spans="1:3" x14ac:dyDescent="0.5">
      <c r="A1012" t="s">
        <v>1908</v>
      </c>
      <c r="B1012">
        <v>1</v>
      </c>
      <c r="C1012" t="s">
        <v>1121</v>
      </c>
    </row>
    <row r="1013" spans="1:3" x14ac:dyDescent="0.5">
      <c r="A1013" t="s">
        <v>1909</v>
      </c>
      <c r="B1013">
        <v>1</v>
      </c>
      <c r="C1013" t="s">
        <v>1278</v>
      </c>
    </row>
    <row r="1014" spans="1:3" x14ac:dyDescent="0.5">
      <c r="A1014" t="s">
        <v>1910</v>
      </c>
      <c r="B1014">
        <v>1</v>
      </c>
      <c r="C1014" t="s">
        <v>1139</v>
      </c>
    </row>
    <row r="1015" spans="1:3" x14ac:dyDescent="0.5">
      <c r="A1015" t="s">
        <v>1911</v>
      </c>
      <c r="B1015">
        <v>1</v>
      </c>
      <c r="C1015" t="s">
        <v>1120</v>
      </c>
    </row>
    <row r="1016" spans="1:3" x14ac:dyDescent="0.5">
      <c r="A1016" t="s">
        <v>1912</v>
      </c>
      <c r="B1016">
        <v>2</v>
      </c>
      <c r="C1016" t="s">
        <v>1142</v>
      </c>
    </row>
    <row r="1017" spans="1:3" x14ac:dyDescent="0.5">
      <c r="A1017" t="s">
        <v>1913</v>
      </c>
      <c r="B1017">
        <v>2</v>
      </c>
      <c r="C1017" t="s">
        <v>1120</v>
      </c>
    </row>
    <row r="1018" spans="1:3" x14ac:dyDescent="0.5">
      <c r="A1018" t="s">
        <v>1914</v>
      </c>
      <c r="B1018">
        <v>1</v>
      </c>
      <c r="C1018" t="s">
        <v>1121</v>
      </c>
    </row>
    <row r="1019" spans="1:3" x14ac:dyDescent="0.5">
      <c r="A1019" t="s">
        <v>1915</v>
      </c>
      <c r="B1019">
        <v>1</v>
      </c>
      <c r="C1019" t="s">
        <v>1131</v>
      </c>
    </row>
    <row r="1020" spans="1:3" x14ac:dyDescent="0.5">
      <c r="A1020" t="s">
        <v>1916</v>
      </c>
      <c r="B1020">
        <v>3</v>
      </c>
      <c r="C1020" t="s">
        <v>1121</v>
      </c>
    </row>
    <row r="1021" spans="1:3" x14ac:dyDescent="0.5">
      <c r="A1021" t="s">
        <v>1917</v>
      </c>
      <c r="B1021">
        <v>1</v>
      </c>
      <c r="C1021" t="s">
        <v>1121</v>
      </c>
    </row>
    <row r="1022" spans="1:3" x14ac:dyDescent="0.5">
      <c r="A1022" t="s">
        <v>1918</v>
      </c>
      <c r="B1022">
        <v>3</v>
      </c>
      <c r="C1022" t="s">
        <v>1121</v>
      </c>
    </row>
    <row r="1023" spans="1:3" x14ac:dyDescent="0.5">
      <c r="A1023" t="s">
        <v>1919</v>
      </c>
      <c r="B1023" t="s">
        <v>1119</v>
      </c>
      <c r="C1023" t="s">
        <v>1127</v>
      </c>
    </row>
    <row r="1024" spans="1:3" x14ac:dyDescent="0.5">
      <c r="A1024" t="s">
        <v>1920</v>
      </c>
      <c r="B1024">
        <v>3</v>
      </c>
      <c r="C1024" t="s">
        <v>1127</v>
      </c>
    </row>
    <row r="1025" spans="1:3" x14ac:dyDescent="0.5">
      <c r="A1025" t="s">
        <v>1921</v>
      </c>
      <c r="B1025">
        <v>1</v>
      </c>
      <c r="C1025" t="s">
        <v>1121</v>
      </c>
    </row>
    <row r="1026" spans="1:3" x14ac:dyDescent="0.5">
      <c r="A1026" t="s">
        <v>1922</v>
      </c>
      <c r="B1026">
        <v>1</v>
      </c>
      <c r="C1026" t="s">
        <v>1114</v>
      </c>
    </row>
    <row r="1027" spans="1:3" x14ac:dyDescent="0.5">
      <c r="A1027" t="s">
        <v>1923</v>
      </c>
      <c r="B1027">
        <v>1</v>
      </c>
      <c r="C1027" t="s">
        <v>1136</v>
      </c>
    </row>
    <row r="1028" spans="1:3" x14ac:dyDescent="0.5">
      <c r="A1028" t="s">
        <v>1924</v>
      </c>
      <c r="B1028">
        <v>2</v>
      </c>
      <c r="C1028" t="s">
        <v>1121</v>
      </c>
    </row>
    <row r="1029" spans="1:3" x14ac:dyDescent="0.5">
      <c r="A1029" t="s">
        <v>1925</v>
      </c>
      <c r="B1029">
        <v>2</v>
      </c>
      <c r="C1029" t="s">
        <v>1121</v>
      </c>
    </row>
    <row r="1030" spans="1:3" x14ac:dyDescent="0.5">
      <c r="A1030" t="s">
        <v>1926</v>
      </c>
      <c r="B1030">
        <v>2</v>
      </c>
      <c r="C1030" t="s">
        <v>1136</v>
      </c>
    </row>
    <row r="1031" spans="1:3" x14ac:dyDescent="0.5">
      <c r="A1031" t="s">
        <v>1927</v>
      </c>
      <c r="B1031">
        <v>1</v>
      </c>
      <c r="C1031" t="s">
        <v>1125</v>
      </c>
    </row>
    <row r="1032" spans="1:3" x14ac:dyDescent="0.5">
      <c r="A1032" t="s">
        <v>1928</v>
      </c>
      <c r="B1032">
        <v>2</v>
      </c>
      <c r="C1032" t="s">
        <v>1159</v>
      </c>
    </row>
    <row r="1033" spans="1:3" x14ac:dyDescent="0.5">
      <c r="A1033" t="s">
        <v>1929</v>
      </c>
      <c r="B1033">
        <v>1</v>
      </c>
      <c r="C1033" t="s">
        <v>1278</v>
      </c>
    </row>
    <row r="1034" spans="1:3" x14ac:dyDescent="0.5">
      <c r="A1034" t="s">
        <v>1930</v>
      </c>
      <c r="B1034">
        <v>1</v>
      </c>
      <c r="C1034" t="s">
        <v>1131</v>
      </c>
    </row>
    <row r="1035" spans="1:3" x14ac:dyDescent="0.5">
      <c r="A1035" t="s">
        <v>1931</v>
      </c>
      <c r="B1035">
        <v>2</v>
      </c>
      <c r="C1035" t="s">
        <v>1131</v>
      </c>
    </row>
    <row r="1036" spans="1:3" x14ac:dyDescent="0.5">
      <c r="A1036" t="s">
        <v>661</v>
      </c>
      <c r="B1036">
        <v>2</v>
      </c>
      <c r="C1036" t="s">
        <v>1273</v>
      </c>
    </row>
    <row r="1037" spans="1:3" x14ac:dyDescent="0.5">
      <c r="A1037" t="s">
        <v>1932</v>
      </c>
      <c r="B1037">
        <v>1</v>
      </c>
      <c r="C1037" t="s">
        <v>1125</v>
      </c>
    </row>
    <row r="1038" spans="1:3" x14ac:dyDescent="0.5">
      <c r="A1038" t="s">
        <v>1933</v>
      </c>
      <c r="B1038">
        <v>1</v>
      </c>
      <c r="C1038" t="s">
        <v>1125</v>
      </c>
    </row>
    <row r="1039" spans="1:3" x14ac:dyDescent="0.5">
      <c r="A1039" t="s">
        <v>1934</v>
      </c>
      <c r="B1039">
        <v>1</v>
      </c>
      <c r="C1039" t="s">
        <v>1278</v>
      </c>
    </row>
    <row r="1040" spans="1:3" x14ac:dyDescent="0.5">
      <c r="A1040" t="s">
        <v>1935</v>
      </c>
      <c r="B1040">
        <v>1</v>
      </c>
      <c r="C1040" t="s">
        <v>1159</v>
      </c>
    </row>
    <row r="1041" spans="1:3" x14ac:dyDescent="0.5">
      <c r="A1041" t="s">
        <v>1936</v>
      </c>
      <c r="B1041">
        <v>1</v>
      </c>
      <c r="C1041" t="s">
        <v>1131</v>
      </c>
    </row>
    <row r="1042" spans="1:3" x14ac:dyDescent="0.5">
      <c r="A1042" t="s">
        <v>1937</v>
      </c>
      <c r="B1042">
        <v>1</v>
      </c>
      <c r="C1042" t="s">
        <v>1125</v>
      </c>
    </row>
    <row r="1043" spans="1:3" x14ac:dyDescent="0.5">
      <c r="A1043" t="s">
        <v>1938</v>
      </c>
      <c r="B1043">
        <v>2</v>
      </c>
      <c r="C1043" t="s">
        <v>1131</v>
      </c>
    </row>
    <row r="1044" spans="1:3" x14ac:dyDescent="0.5">
      <c r="A1044" t="s">
        <v>1939</v>
      </c>
      <c r="B1044">
        <v>1</v>
      </c>
      <c r="C1044" t="s">
        <v>1126</v>
      </c>
    </row>
    <row r="1045" spans="1:3" x14ac:dyDescent="0.5">
      <c r="A1045" t="s">
        <v>1940</v>
      </c>
      <c r="B1045">
        <v>1</v>
      </c>
      <c r="C1045" t="s">
        <v>1278</v>
      </c>
    </row>
    <row r="1046" spans="1:3" x14ac:dyDescent="0.5">
      <c r="A1046" t="s">
        <v>1941</v>
      </c>
      <c r="B1046">
        <v>3</v>
      </c>
      <c r="C1046" t="s">
        <v>1121</v>
      </c>
    </row>
    <row r="1047" spans="1:3" x14ac:dyDescent="0.5">
      <c r="A1047" t="s">
        <v>750</v>
      </c>
      <c r="B1047" t="s">
        <v>1119</v>
      </c>
      <c r="C1047" t="s">
        <v>1125</v>
      </c>
    </row>
    <row r="1048" spans="1:3" x14ac:dyDescent="0.5">
      <c r="A1048" t="s">
        <v>1942</v>
      </c>
      <c r="B1048" t="s">
        <v>1119</v>
      </c>
      <c r="C1048" t="s">
        <v>1126</v>
      </c>
    </row>
    <row r="1049" spans="1:3" x14ac:dyDescent="0.5">
      <c r="A1049" t="s">
        <v>1943</v>
      </c>
      <c r="B1049">
        <v>2</v>
      </c>
      <c r="C1049" t="s">
        <v>1120</v>
      </c>
    </row>
    <row r="1050" spans="1:3" x14ac:dyDescent="0.5">
      <c r="A1050" t="s">
        <v>1944</v>
      </c>
      <c r="B1050">
        <v>1</v>
      </c>
      <c r="C1050" t="s">
        <v>1120</v>
      </c>
    </row>
    <row r="1051" spans="1:3" x14ac:dyDescent="0.5">
      <c r="A1051" t="s">
        <v>1065</v>
      </c>
      <c r="B1051">
        <v>2</v>
      </c>
      <c r="C1051" t="s">
        <v>1136</v>
      </c>
    </row>
    <row r="1052" spans="1:3" x14ac:dyDescent="0.5">
      <c r="A1052" t="s">
        <v>1945</v>
      </c>
      <c r="B1052">
        <v>2</v>
      </c>
      <c r="C1052" t="s">
        <v>1120</v>
      </c>
    </row>
    <row r="1053" spans="1:3" x14ac:dyDescent="0.5">
      <c r="A1053" t="s">
        <v>1946</v>
      </c>
      <c r="B1053">
        <v>3</v>
      </c>
      <c r="C1053" t="s">
        <v>1121</v>
      </c>
    </row>
    <row r="1054" spans="1:3" x14ac:dyDescent="0.5">
      <c r="A1054" t="s">
        <v>943</v>
      </c>
      <c r="B1054">
        <v>1</v>
      </c>
      <c r="C1054" t="s">
        <v>1121</v>
      </c>
    </row>
    <row r="1055" spans="1:3" x14ac:dyDescent="0.5">
      <c r="A1055" t="s">
        <v>1947</v>
      </c>
      <c r="B1055">
        <v>1</v>
      </c>
      <c r="C1055" t="s">
        <v>1273</v>
      </c>
    </row>
    <row r="1056" spans="1:3" x14ac:dyDescent="0.5">
      <c r="A1056" t="s">
        <v>1948</v>
      </c>
      <c r="B1056">
        <v>2</v>
      </c>
      <c r="C1056" t="s">
        <v>1122</v>
      </c>
    </row>
    <row r="1057" spans="1:3" x14ac:dyDescent="0.5">
      <c r="A1057" t="s">
        <v>1949</v>
      </c>
      <c r="B1057">
        <v>1</v>
      </c>
      <c r="C1057" t="s">
        <v>1121</v>
      </c>
    </row>
    <row r="1058" spans="1:3" x14ac:dyDescent="0.5">
      <c r="A1058" t="s">
        <v>1950</v>
      </c>
      <c r="B1058" t="s">
        <v>1119</v>
      </c>
      <c r="C1058" t="s">
        <v>1141</v>
      </c>
    </row>
    <row r="1059" spans="1:3" x14ac:dyDescent="0.5">
      <c r="A1059" t="s">
        <v>1951</v>
      </c>
      <c r="B1059">
        <v>2</v>
      </c>
      <c r="C1059" t="s">
        <v>1120</v>
      </c>
    </row>
    <row r="1060" spans="1:3" x14ac:dyDescent="0.5">
      <c r="A1060" t="s">
        <v>1952</v>
      </c>
      <c r="B1060">
        <v>1</v>
      </c>
      <c r="C1060" t="s">
        <v>1125</v>
      </c>
    </row>
    <row r="1061" spans="1:3" x14ac:dyDescent="0.5">
      <c r="A1061" t="s">
        <v>1953</v>
      </c>
      <c r="B1061">
        <v>2</v>
      </c>
      <c r="C1061" t="s">
        <v>1125</v>
      </c>
    </row>
    <row r="1062" spans="1:3" x14ac:dyDescent="0.5">
      <c r="A1062" t="s">
        <v>1954</v>
      </c>
      <c r="B1062">
        <v>2</v>
      </c>
      <c r="C1062" t="s">
        <v>1278</v>
      </c>
    </row>
    <row r="1063" spans="1:3" x14ac:dyDescent="0.5">
      <c r="A1063" t="s">
        <v>1955</v>
      </c>
      <c r="B1063">
        <v>2</v>
      </c>
      <c r="C1063" t="s">
        <v>1114</v>
      </c>
    </row>
    <row r="1064" spans="1:3" x14ac:dyDescent="0.5">
      <c r="A1064" t="s">
        <v>1956</v>
      </c>
      <c r="B1064">
        <v>2</v>
      </c>
      <c r="C1064" t="s">
        <v>1278</v>
      </c>
    </row>
    <row r="1065" spans="1:3" x14ac:dyDescent="0.5">
      <c r="A1065" t="s">
        <v>1957</v>
      </c>
      <c r="B1065">
        <v>1</v>
      </c>
      <c r="C1065" t="s">
        <v>1120</v>
      </c>
    </row>
    <row r="1066" spans="1:3" x14ac:dyDescent="0.5">
      <c r="A1066" t="s">
        <v>1958</v>
      </c>
      <c r="B1066">
        <v>1</v>
      </c>
      <c r="C1066" t="s">
        <v>1159</v>
      </c>
    </row>
    <row r="1067" spans="1:3" x14ac:dyDescent="0.5">
      <c r="A1067" t="s">
        <v>1959</v>
      </c>
      <c r="B1067">
        <v>3</v>
      </c>
      <c r="C1067" t="s">
        <v>1278</v>
      </c>
    </row>
    <row r="1068" spans="1:3" x14ac:dyDescent="0.5">
      <c r="A1068" t="s">
        <v>1960</v>
      </c>
      <c r="B1068">
        <v>2</v>
      </c>
      <c r="C1068" t="s">
        <v>1120</v>
      </c>
    </row>
    <row r="1069" spans="1:3" x14ac:dyDescent="0.5">
      <c r="A1069" t="s">
        <v>1961</v>
      </c>
      <c r="B1069">
        <v>1</v>
      </c>
      <c r="C1069" t="s">
        <v>1126</v>
      </c>
    </row>
    <row r="1070" spans="1:3" x14ac:dyDescent="0.5">
      <c r="A1070" t="s">
        <v>1962</v>
      </c>
      <c r="B1070">
        <v>1</v>
      </c>
      <c r="C1070" t="s">
        <v>1121</v>
      </c>
    </row>
    <row r="1071" spans="1:3" x14ac:dyDescent="0.5">
      <c r="A1071" t="s">
        <v>1963</v>
      </c>
      <c r="B1071">
        <v>1</v>
      </c>
      <c r="C1071" t="s">
        <v>1121</v>
      </c>
    </row>
    <row r="1072" spans="1:3" x14ac:dyDescent="0.5">
      <c r="A1072" t="s">
        <v>1964</v>
      </c>
      <c r="B1072">
        <v>2</v>
      </c>
      <c r="C1072" t="s">
        <v>1136</v>
      </c>
    </row>
    <row r="1073" spans="1:3" x14ac:dyDescent="0.5">
      <c r="A1073" t="s">
        <v>1965</v>
      </c>
      <c r="B1073">
        <v>2</v>
      </c>
      <c r="C1073" t="s">
        <v>1278</v>
      </c>
    </row>
    <row r="1074" spans="1:3" x14ac:dyDescent="0.5">
      <c r="A1074" t="s">
        <v>1966</v>
      </c>
      <c r="B1074">
        <v>2</v>
      </c>
      <c r="C1074" t="s">
        <v>1120</v>
      </c>
    </row>
    <row r="1075" spans="1:3" x14ac:dyDescent="0.5">
      <c r="A1075" t="s">
        <v>1967</v>
      </c>
      <c r="B1075">
        <v>2</v>
      </c>
      <c r="C1075" t="s">
        <v>1121</v>
      </c>
    </row>
    <row r="1076" spans="1:3" x14ac:dyDescent="0.5">
      <c r="A1076" t="s">
        <v>1968</v>
      </c>
      <c r="B1076">
        <v>2</v>
      </c>
      <c r="C1076" t="s">
        <v>1121</v>
      </c>
    </row>
    <row r="1077" spans="1:3" x14ac:dyDescent="0.5">
      <c r="A1077" t="s">
        <v>1969</v>
      </c>
      <c r="B1077">
        <v>1</v>
      </c>
      <c r="C1077" t="s">
        <v>1141</v>
      </c>
    </row>
    <row r="1078" spans="1:3" x14ac:dyDescent="0.5">
      <c r="A1078" t="s">
        <v>1970</v>
      </c>
      <c r="B1078" t="s">
        <v>1119</v>
      </c>
      <c r="C1078" t="s">
        <v>1121</v>
      </c>
    </row>
    <row r="1079" spans="1:3" x14ac:dyDescent="0.5">
      <c r="A1079" t="s">
        <v>1971</v>
      </c>
      <c r="B1079">
        <v>2</v>
      </c>
      <c r="C1079" t="s">
        <v>1159</v>
      </c>
    </row>
    <row r="1080" spans="1:3" x14ac:dyDescent="0.5">
      <c r="A1080" t="s">
        <v>1972</v>
      </c>
      <c r="B1080">
        <v>2</v>
      </c>
      <c r="C1080" t="s">
        <v>1121</v>
      </c>
    </row>
    <row r="1081" spans="1:3" x14ac:dyDescent="0.5">
      <c r="A1081" t="s">
        <v>1973</v>
      </c>
      <c r="B1081">
        <v>2</v>
      </c>
      <c r="C1081" t="s">
        <v>1120</v>
      </c>
    </row>
    <row r="1082" spans="1:3" x14ac:dyDescent="0.5">
      <c r="A1082" t="s">
        <v>1974</v>
      </c>
      <c r="B1082">
        <v>1</v>
      </c>
      <c r="C1082" t="s">
        <v>1131</v>
      </c>
    </row>
    <row r="1083" spans="1:3" x14ac:dyDescent="0.5">
      <c r="A1083" t="s">
        <v>1975</v>
      </c>
      <c r="B1083">
        <v>2</v>
      </c>
      <c r="C1083" t="s">
        <v>1159</v>
      </c>
    </row>
    <row r="1084" spans="1:3" x14ac:dyDescent="0.5">
      <c r="A1084" t="s">
        <v>1976</v>
      </c>
      <c r="B1084">
        <v>1</v>
      </c>
      <c r="C1084" t="s">
        <v>1126</v>
      </c>
    </row>
    <row r="1085" spans="1:3" x14ac:dyDescent="0.5">
      <c r="A1085" t="s">
        <v>1977</v>
      </c>
      <c r="B1085">
        <v>1</v>
      </c>
      <c r="C1085" t="s">
        <v>1121</v>
      </c>
    </row>
    <row r="1086" spans="1:3" x14ac:dyDescent="0.5">
      <c r="A1086" t="s">
        <v>1978</v>
      </c>
      <c r="B1086">
        <v>2</v>
      </c>
      <c r="C1086" t="s">
        <v>1121</v>
      </c>
    </row>
    <row r="1087" spans="1:3" x14ac:dyDescent="0.5">
      <c r="A1087" t="s">
        <v>1979</v>
      </c>
      <c r="B1087">
        <v>1</v>
      </c>
      <c r="C1087" t="s">
        <v>1120</v>
      </c>
    </row>
    <row r="1088" spans="1:3" x14ac:dyDescent="0.5">
      <c r="A1088" t="s">
        <v>1980</v>
      </c>
      <c r="B1088">
        <v>1</v>
      </c>
      <c r="C1088" t="s">
        <v>1114</v>
      </c>
    </row>
    <row r="1089" spans="1:3" x14ac:dyDescent="0.5">
      <c r="A1089" t="s">
        <v>1981</v>
      </c>
      <c r="B1089" t="s">
        <v>1119</v>
      </c>
      <c r="C1089" t="s">
        <v>1121</v>
      </c>
    </row>
    <row r="1090" spans="1:3" x14ac:dyDescent="0.5">
      <c r="A1090" t="s">
        <v>1982</v>
      </c>
      <c r="B1090">
        <v>1</v>
      </c>
      <c r="C1090" t="s">
        <v>1120</v>
      </c>
    </row>
    <row r="1091" spans="1:3" x14ac:dyDescent="0.5">
      <c r="A1091" t="s">
        <v>1983</v>
      </c>
      <c r="B1091">
        <v>1</v>
      </c>
      <c r="C1091" t="s">
        <v>1125</v>
      </c>
    </row>
    <row r="1092" spans="1:3" x14ac:dyDescent="0.5">
      <c r="A1092" t="s">
        <v>1072</v>
      </c>
      <c r="B1092">
        <v>1</v>
      </c>
      <c r="C1092" t="s">
        <v>1120</v>
      </c>
    </row>
    <row r="1093" spans="1:3" x14ac:dyDescent="0.5">
      <c r="A1093" t="s">
        <v>1984</v>
      </c>
      <c r="B1093" t="s">
        <v>1119</v>
      </c>
      <c r="C1093" t="s">
        <v>1141</v>
      </c>
    </row>
    <row r="1094" spans="1:3" x14ac:dyDescent="0.5">
      <c r="A1094" t="s">
        <v>1985</v>
      </c>
      <c r="B1094">
        <v>3</v>
      </c>
      <c r="C1094" t="s">
        <v>1121</v>
      </c>
    </row>
    <row r="1095" spans="1:3" x14ac:dyDescent="0.5">
      <c r="A1095" t="s">
        <v>1986</v>
      </c>
      <c r="B1095">
        <v>1</v>
      </c>
      <c r="C1095" t="s">
        <v>1121</v>
      </c>
    </row>
    <row r="1096" spans="1:3" x14ac:dyDescent="0.5">
      <c r="A1096" t="s">
        <v>1987</v>
      </c>
      <c r="B1096">
        <v>1</v>
      </c>
      <c r="C1096" t="s">
        <v>1120</v>
      </c>
    </row>
    <row r="1097" spans="1:3" x14ac:dyDescent="0.5">
      <c r="A1097" t="s">
        <v>1988</v>
      </c>
      <c r="B1097">
        <v>1</v>
      </c>
      <c r="C1097" t="s">
        <v>1121</v>
      </c>
    </row>
    <row r="1098" spans="1:3" x14ac:dyDescent="0.5">
      <c r="A1098" t="s">
        <v>1989</v>
      </c>
      <c r="B1098">
        <v>1</v>
      </c>
      <c r="C1098" t="s">
        <v>1125</v>
      </c>
    </row>
    <row r="1099" spans="1:3" x14ac:dyDescent="0.5">
      <c r="A1099" t="s">
        <v>1990</v>
      </c>
      <c r="B1099">
        <v>2</v>
      </c>
      <c r="C1099" t="s">
        <v>1147</v>
      </c>
    </row>
    <row r="1100" spans="1:3" x14ac:dyDescent="0.5">
      <c r="A1100" t="s">
        <v>1991</v>
      </c>
      <c r="B1100">
        <v>2</v>
      </c>
      <c r="C1100" t="s">
        <v>1121</v>
      </c>
    </row>
    <row r="1101" spans="1:3" x14ac:dyDescent="0.5">
      <c r="A1101" t="s">
        <v>1992</v>
      </c>
      <c r="B1101" t="s">
        <v>1119</v>
      </c>
      <c r="C1101" t="s">
        <v>1126</v>
      </c>
    </row>
    <row r="1102" spans="1:3" x14ac:dyDescent="0.5">
      <c r="A1102" t="s">
        <v>1993</v>
      </c>
      <c r="B1102">
        <v>2</v>
      </c>
      <c r="C1102" t="s">
        <v>1131</v>
      </c>
    </row>
    <row r="1103" spans="1:3" x14ac:dyDescent="0.5">
      <c r="A1103" t="s">
        <v>1994</v>
      </c>
      <c r="B1103" t="s">
        <v>1119</v>
      </c>
      <c r="C1103" t="s">
        <v>1125</v>
      </c>
    </row>
    <row r="1104" spans="1:3" x14ac:dyDescent="0.5">
      <c r="A1104" t="s">
        <v>743</v>
      </c>
      <c r="B1104" t="s">
        <v>1119</v>
      </c>
      <c r="C1104" t="s">
        <v>1125</v>
      </c>
    </row>
    <row r="1105" spans="1:3" x14ac:dyDescent="0.5">
      <c r="A1105" t="s">
        <v>733</v>
      </c>
      <c r="B1105" t="s">
        <v>1119</v>
      </c>
      <c r="C1105" t="s">
        <v>1125</v>
      </c>
    </row>
    <row r="1106" spans="1:3" x14ac:dyDescent="0.5">
      <c r="A1106" t="s">
        <v>1995</v>
      </c>
      <c r="B1106">
        <v>3</v>
      </c>
      <c r="C1106" t="s">
        <v>1126</v>
      </c>
    </row>
    <row r="1107" spans="1:3" x14ac:dyDescent="0.5">
      <c r="A1107" t="s">
        <v>656</v>
      </c>
      <c r="B1107">
        <v>1</v>
      </c>
      <c r="C1107" t="s">
        <v>1126</v>
      </c>
    </row>
    <row r="1108" spans="1:3" x14ac:dyDescent="0.5">
      <c r="A1108" t="s">
        <v>638</v>
      </c>
      <c r="B1108">
        <v>1</v>
      </c>
      <c r="C1108" t="s">
        <v>1125</v>
      </c>
    </row>
    <row r="1109" spans="1:3" x14ac:dyDescent="0.5">
      <c r="A1109" t="s">
        <v>1996</v>
      </c>
      <c r="B1109">
        <v>2</v>
      </c>
      <c r="C1109" t="s">
        <v>1141</v>
      </c>
    </row>
    <row r="1110" spans="1:3" x14ac:dyDescent="0.5">
      <c r="A1110" t="s">
        <v>1997</v>
      </c>
      <c r="B1110" t="s">
        <v>1119</v>
      </c>
      <c r="C1110" t="s">
        <v>1114</v>
      </c>
    </row>
    <row r="1111" spans="1:3" x14ac:dyDescent="0.5">
      <c r="A1111" t="s">
        <v>1998</v>
      </c>
      <c r="B1111" t="s">
        <v>1119</v>
      </c>
      <c r="C1111" t="s">
        <v>1114</v>
      </c>
    </row>
    <row r="1112" spans="1:3" x14ac:dyDescent="0.5">
      <c r="A1112" t="s">
        <v>1999</v>
      </c>
      <c r="B1112" t="s">
        <v>1119</v>
      </c>
      <c r="C1112" t="s">
        <v>1114</v>
      </c>
    </row>
    <row r="1113" spans="1:3" x14ac:dyDescent="0.5">
      <c r="A1113" t="s">
        <v>2000</v>
      </c>
      <c r="B1113">
        <v>2</v>
      </c>
      <c r="C1113" t="s">
        <v>1126</v>
      </c>
    </row>
    <row r="1114" spans="1:3" x14ac:dyDescent="0.5">
      <c r="A1114" t="s">
        <v>2001</v>
      </c>
      <c r="B1114">
        <v>2</v>
      </c>
      <c r="C1114" t="s">
        <v>1126</v>
      </c>
    </row>
    <row r="1115" spans="1:3" x14ac:dyDescent="0.5">
      <c r="A1115" t="s">
        <v>2002</v>
      </c>
      <c r="B1115">
        <v>1</v>
      </c>
      <c r="C1115" t="s">
        <v>1278</v>
      </c>
    </row>
    <row r="1116" spans="1:3" x14ac:dyDescent="0.5">
      <c r="A1116" t="s">
        <v>2003</v>
      </c>
      <c r="B1116">
        <v>2</v>
      </c>
      <c r="C1116" t="s">
        <v>1159</v>
      </c>
    </row>
    <row r="1117" spans="1:3" x14ac:dyDescent="0.5">
      <c r="A1117" t="s">
        <v>2004</v>
      </c>
      <c r="B1117">
        <v>1</v>
      </c>
      <c r="C1117" t="s">
        <v>1278</v>
      </c>
    </row>
    <row r="1118" spans="1:3" x14ac:dyDescent="0.5">
      <c r="A1118" t="s">
        <v>206</v>
      </c>
      <c r="B1118">
        <v>1</v>
      </c>
      <c r="C1118" t="s">
        <v>1278</v>
      </c>
    </row>
    <row r="1119" spans="1:3" x14ac:dyDescent="0.5">
      <c r="A1119" t="s">
        <v>2005</v>
      </c>
      <c r="B1119">
        <v>1</v>
      </c>
      <c r="C1119" t="s">
        <v>1278</v>
      </c>
    </row>
    <row r="1120" spans="1:3" x14ac:dyDescent="0.5">
      <c r="A1120" t="s">
        <v>2006</v>
      </c>
      <c r="B1120">
        <v>1</v>
      </c>
      <c r="C1120" t="s">
        <v>1273</v>
      </c>
    </row>
    <row r="1121" spans="1:3" x14ac:dyDescent="0.5">
      <c r="A1121" t="s">
        <v>2007</v>
      </c>
      <c r="B1121" t="s">
        <v>1119</v>
      </c>
      <c r="C1121" t="s">
        <v>1278</v>
      </c>
    </row>
    <row r="1122" spans="1:3" x14ac:dyDescent="0.5">
      <c r="A1122" t="s">
        <v>2008</v>
      </c>
      <c r="B1122">
        <v>2</v>
      </c>
      <c r="C1122" t="s">
        <v>1273</v>
      </c>
    </row>
    <row r="1123" spans="1:3" x14ac:dyDescent="0.5">
      <c r="A1123" t="s">
        <v>1103</v>
      </c>
      <c r="B1123">
        <v>1</v>
      </c>
      <c r="C1123" t="s">
        <v>1142</v>
      </c>
    </row>
    <row r="1124" spans="1:3" x14ac:dyDescent="0.5">
      <c r="A1124" t="s">
        <v>2009</v>
      </c>
      <c r="B1124">
        <v>2</v>
      </c>
      <c r="C1124" t="s">
        <v>1142</v>
      </c>
    </row>
    <row r="1125" spans="1:3" x14ac:dyDescent="0.5">
      <c r="A1125" t="s">
        <v>2010</v>
      </c>
      <c r="B1125">
        <v>1</v>
      </c>
      <c r="C1125" t="s">
        <v>1120</v>
      </c>
    </row>
    <row r="1126" spans="1:3" x14ac:dyDescent="0.5">
      <c r="A1126" t="s">
        <v>2011</v>
      </c>
      <c r="B1126">
        <v>1</v>
      </c>
      <c r="C1126" t="s">
        <v>1120</v>
      </c>
    </row>
    <row r="1127" spans="1:3" x14ac:dyDescent="0.5">
      <c r="A1127" t="s">
        <v>2012</v>
      </c>
      <c r="B1127">
        <v>1</v>
      </c>
      <c r="C1127" t="s">
        <v>1120</v>
      </c>
    </row>
    <row r="1128" spans="1:3" x14ac:dyDescent="0.5">
      <c r="A1128" t="s">
        <v>2013</v>
      </c>
      <c r="B1128">
        <v>2</v>
      </c>
      <c r="C1128" t="s">
        <v>1120</v>
      </c>
    </row>
    <row r="1129" spans="1:3" x14ac:dyDescent="0.5">
      <c r="A1129" t="s">
        <v>2014</v>
      </c>
      <c r="B1129">
        <v>3</v>
      </c>
      <c r="C1129" t="s">
        <v>1120</v>
      </c>
    </row>
    <row r="1130" spans="1:3" x14ac:dyDescent="0.5">
      <c r="A1130" t="s">
        <v>2015</v>
      </c>
      <c r="B1130">
        <v>2</v>
      </c>
      <c r="C1130" t="s">
        <v>1120</v>
      </c>
    </row>
    <row r="1131" spans="1:3" x14ac:dyDescent="0.5">
      <c r="A1131" t="s">
        <v>130</v>
      </c>
      <c r="B1131">
        <v>2</v>
      </c>
      <c r="C1131" t="s">
        <v>1120</v>
      </c>
    </row>
    <row r="1132" spans="1:3" x14ac:dyDescent="0.5">
      <c r="A1132" t="s">
        <v>2016</v>
      </c>
      <c r="B1132">
        <v>2</v>
      </c>
      <c r="C1132" t="s">
        <v>1120</v>
      </c>
    </row>
    <row r="1133" spans="1:3" x14ac:dyDescent="0.5">
      <c r="A1133" t="s">
        <v>2017</v>
      </c>
      <c r="B1133">
        <v>1</v>
      </c>
      <c r="C1133" t="s">
        <v>1278</v>
      </c>
    </row>
    <row r="1134" spans="1:3" x14ac:dyDescent="0.5">
      <c r="A1134" t="s">
        <v>2018</v>
      </c>
      <c r="B1134">
        <v>1</v>
      </c>
      <c r="C1134" t="s">
        <v>1159</v>
      </c>
    </row>
    <row r="1135" spans="1:3" x14ac:dyDescent="0.5">
      <c r="A1135" t="s">
        <v>2019</v>
      </c>
      <c r="B1135">
        <v>1</v>
      </c>
      <c r="C1135" t="s">
        <v>1125</v>
      </c>
    </row>
    <row r="1136" spans="1:3" x14ac:dyDescent="0.5">
      <c r="A1136" t="s">
        <v>2020</v>
      </c>
      <c r="B1136">
        <v>1</v>
      </c>
      <c r="C1136" t="s">
        <v>1125</v>
      </c>
    </row>
    <row r="1137" spans="1:3" x14ac:dyDescent="0.5">
      <c r="A1137" t="s">
        <v>2021</v>
      </c>
      <c r="B1137">
        <v>3</v>
      </c>
      <c r="C1137" t="s">
        <v>1121</v>
      </c>
    </row>
    <row r="1138" spans="1:3" x14ac:dyDescent="0.5">
      <c r="A1138" t="s">
        <v>2022</v>
      </c>
      <c r="B1138">
        <v>2</v>
      </c>
      <c r="C1138" t="s">
        <v>1136</v>
      </c>
    </row>
    <row r="1139" spans="1:3" x14ac:dyDescent="0.5">
      <c r="A1139" t="s">
        <v>2023</v>
      </c>
      <c r="B1139" t="s">
        <v>1119</v>
      </c>
      <c r="C1139" t="s">
        <v>1125</v>
      </c>
    </row>
    <row r="1140" spans="1:3" x14ac:dyDescent="0.5">
      <c r="A1140" t="s">
        <v>2024</v>
      </c>
      <c r="B1140">
        <v>3</v>
      </c>
      <c r="C1140" t="s">
        <v>1136</v>
      </c>
    </row>
    <row r="1141" spans="1:3" x14ac:dyDescent="0.5">
      <c r="A1141" t="s">
        <v>241</v>
      </c>
      <c r="B1141">
        <v>1</v>
      </c>
      <c r="C1141" t="s">
        <v>1153</v>
      </c>
    </row>
    <row r="1142" spans="1:3" x14ac:dyDescent="0.5">
      <c r="A1142" t="s">
        <v>2025</v>
      </c>
      <c r="B1142">
        <v>1</v>
      </c>
      <c r="C1142" t="s">
        <v>1159</v>
      </c>
    </row>
    <row r="1143" spans="1:3" x14ac:dyDescent="0.5">
      <c r="A1143" t="s">
        <v>2026</v>
      </c>
      <c r="B1143">
        <v>2</v>
      </c>
      <c r="C1143" t="s">
        <v>1114</v>
      </c>
    </row>
    <row r="1144" spans="1:3" x14ac:dyDescent="0.5">
      <c r="A1144" t="s">
        <v>2027</v>
      </c>
      <c r="B1144">
        <v>2</v>
      </c>
      <c r="C1144" t="s">
        <v>1114</v>
      </c>
    </row>
    <row r="1145" spans="1:3" x14ac:dyDescent="0.5">
      <c r="A1145" t="s">
        <v>1062</v>
      </c>
      <c r="B1145">
        <v>1</v>
      </c>
      <c r="C1145" t="s">
        <v>1131</v>
      </c>
    </row>
    <row r="1146" spans="1:3" x14ac:dyDescent="0.5">
      <c r="A1146" t="s">
        <v>2028</v>
      </c>
      <c r="B1146">
        <v>1</v>
      </c>
      <c r="C1146" t="s">
        <v>1114</v>
      </c>
    </row>
    <row r="1147" spans="1:3" x14ac:dyDescent="0.5">
      <c r="A1147" t="s">
        <v>2029</v>
      </c>
      <c r="B1147">
        <v>1</v>
      </c>
      <c r="C1147" t="s">
        <v>1114</v>
      </c>
    </row>
    <row r="1148" spans="1:3" x14ac:dyDescent="0.5">
      <c r="A1148" t="s">
        <v>2030</v>
      </c>
      <c r="B1148">
        <v>1</v>
      </c>
      <c r="C1148" t="s">
        <v>1114</v>
      </c>
    </row>
    <row r="1149" spans="1:3" x14ac:dyDescent="0.5">
      <c r="A1149" t="s">
        <v>2031</v>
      </c>
      <c r="B1149">
        <v>2</v>
      </c>
      <c r="C1149" t="s">
        <v>1114</v>
      </c>
    </row>
    <row r="1150" spans="1:3" x14ac:dyDescent="0.5">
      <c r="A1150" t="s">
        <v>2032</v>
      </c>
      <c r="B1150" t="s">
        <v>1119</v>
      </c>
      <c r="C1150" t="s">
        <v>1114</v>
      </c>
    </row>
    <row r="1151" spans="1:3" x14ac:dyDescent="0.5">
      <c r="A1151" t="s">
        <v>2033</v>
      </c>
      <c r="B1151">
        <v>2</v>
      </c>
      <c r="C1151" t="s">
        <v>1136</v>
      </c>
    </row>
    <row r="1152" spans="1:3" x14ac:dyDescent="0.5">
      <c r="A1152" t="s">
        <v>2034</v>
      </c>
      <c r="B1152">
        <v>1</v>
      </c>
      <c r="C1152" t="s">
        <v>1125</v>
      </c>
    </row>
    <row r="1153" spans="1:3" x14ac:dyDescent="0.5">
      <c r="A1153" t="s">
        <v>2035</v>
      </c>
      <c r="B1153">
        <v>1</v>
      </c>
      <c r="C1153" t="s">
        <v>1125</v>
      </c>
    </row>
    <row r="1154" spans="1:3" x14ac:dyDescent="0.5">
      <c r="A1154" t="s">
        <v>2036</v>
      </c>
      <c r="B1154">
        <v>1</v>
      </c>
      <c r="C1154" t="s">
        <v>1125</v>
      </c>
    </row>
    <row r="1155" spans="1:3" x14ac:dyDescent="0.5">
      <c r="A1155" t="s">
        <v>2037</v>
      </c>
      <c r="B1155">
        <v>1</v>
      </c>
      <c r="C1155" t="s">
        <v>1125</v>
      </c>
    </row>
    <row r="1156" spans="1:3" x14ac:dyDescent="0.5">
      <c r="A1156" t="s">
        <v>2038</v>
      </c>
      <c r="B1156">
        <v>2</v>
      </c>
      <c r="C1156" t="s">
        <v>1125</v>
      </c>
    </row>
    <row r="1157" spans="1:3" x14ac:dyDescent="0.5">
      <c r="A1157" t="s">
        <v>1040</v>
      </c>
      <c r="B1157" t="s">
        <v>1119</v>
      </c>
      <c r="C1157" t="s">
        <v>1131</v>
      </c>
    </row>
    <row r="1158" spans="1:3" x14ac:dyDescent="0.5">
      <c r="A1158" t="s">
        <v>2039</v>
      </c>
      <c r="B1158">
        <v>2</v>
      </c>
      <c r="C1158" t="s">
        <v>1131</v>
      </c>
    </row>
    <row r="1159" spans="1:3" x14ac:dyDescent="0.5">
      <c r="A1159" t="s">
        <v>2040</v>
      </c>
      <c r="B1159">
        <v>2</v>
      </c>
      <c r="C1159" t="s">
        <v>1131</v>
      </c>
    </row>
    <row r="1160" spans="1:3" x14ac:dyDescent="0.5">
      <c r="A1160" t="s">
        <v>2041</v>
      </c>
      <c r="B1160">
        <v>1</v>
      </c>
      <c r="C1160" t="s">
        <v>1136</v>
      </c>
    </row>
    <row r="1161" spans="1:3" x14ac:dyDescent="0.5">
      <c r="A1161" t="s">
        <v>999</v>
      </c>
      <c r="B1161">
        <v>1</v>
      </c>
      <c r="C1161" t="s">
        <v>1131</v>
      </c>
    </row>
    <row r="1162" spans="1:3" x14ac:dyDescent="0.5">
      <c r="A1162" t="s">
        <v>2042</v>
      </c>
      <c r="B1162">
        <v>2</v>
      </c>
      <c r="C1162" t="s">
        <v>1117</v>
      </c>
    </row>
    <row r="1163" spans="1:3" x14ac:dyDescent="0.5">
      <c r="A1163" t="s">
        <v>2043</v>
      </c>
      <c r="B1163">
        <v>1</v>
      </c>
      <c r="C1163" t="s">
        <v>1117</v>
      </c>
    </row>
    <row r="1164" spans="1:3" x14ac:dyDescent="0.5">
      <c r="A1164" t="s">
        <v>2044</v>
      </c>
      <c r="B1164">
        <v>1</v>
      </c>
      <c r="C1164" t="s">
        <v>1125</v>
      </c>
    </row>
    <row r="1165" spans="1:3" x14ac:dyDescent="0.5">
      <c r="A1165" t="s">
        <v>2045</v>
      </c>
      <c r="B1165">
        <v>1</v>
      </c>
      <c r="C1165" t="s">
        <v>1125</v>
      </c>
    </row>
    <row r="1166" spans="1:3" x14ac:dyDescent="0.5">
      <c r="A1166" t="s">
        <v>2046</v>
      </c>
      <c r="B1166">
        <v>1</v>
      </c>
      <c r="C1166" t="s">
        <v>1121</v>
      </c>
    </row>
    <row r="1167" spans="1:3" x14ac:dyDescent="0.5">
      <c r="A1167" t="s">
        <v>2047</v>
      </c>
      <c r="B1167">
        <v>1</v>
      </c>
      <c r="C1167" t="s">
        <v>1121</v>
      </c>
    </row>
    <row r="1168" spans="1:3" x14ac:dyDescent="0.5">
      <c r="A1168" t="s">
        <v>2048</v>
      </c>
      <c r="B1168">
        <v>1</v>
      </c>
      <c r="C1168" t="s">
        <v>1121</v>
      </c>
    </row>
    <row r="1169" spans="1:3" x14ac:dyDescent="0.5">
      <c r="A1169" t="s">
        <v>2049</v>
      </c>
      <c r="B1169">
        <v>1</v>
      </c>
      <c r="C1169" t="s">
        <v>1121</v>
      </c>
    </row>
    <row r="1170" spans="1:3" x14ac:dyDescent="0.5">
      <c r="A1170" t="s">
        <v>2050</v>
      </c>
      <c r="B1170">
        <v>1</v>
      </c>
      <c r="C1170" t="s">
        <v>1121</v>
      </c>
    </row>
    <row r="1171" spans="1:3" x14ac:dyDescent="0.5">
      <c r="A1171" t="s">
        <v>2051</v>
      </c>
      <c r="B1171">
        <v>2</v>
      </c>
      <c r="C1171" t="s">
        <v>1121</v>
      </c>
    </row>
    <row r="1172" spans="1:3" x14ac:dyDescent="0.5">
      <c r="A1172" t="s">
        <v>2052</v>
      </c>
      <c r="B1172">
        <v>1</v>
      </c>
      <c r="C1172" t="s">
        <v>1131</v>
      </c>
    </row>
    <row r="1173" spans="1:3" x14ac:dyDescent="0.5">
      <c r="A1173" t="s">
        <v>2053</v>
      </c>
      <c r="B1173">
        <v>2</v>
      </c>
      <c r="C1173" t="s">
        <v>1121</v>
      </c>
    </row>
    <row r="1174" spans="1:3" x14ac:dyDescent="0.5">
      <c r="A1174" t="s">
        <v>2054</v>
      </c>
      <c r="B1174">
        <v>2</v>
      </c>
      <c r="C1174" t="s">
        <v>1121</v>
      </c>
    </row>
    <row r="1175" spans="1:3" x14ac:dyDescent="0.5">
      <c r="A1175" t="s">
        <v>2055</v>
      </c>
      <c r="B1175">
        <v>1</v>
      </c>
      <c r="C1175" t="s">
        <v>1121</v>
      </c>
    </row>
    <row r="1176" spans="1:3" x14ac:dyDescent="0.5">
      <c r="A1176" t="s">
        <v>2056</v>
      </c>
      <c r="B1176">
        <v>1</v>
      </c>
      <c r="C1176" t="s">
        <v>1121</v>
      </c>
    </row>
    <row r="1177" spans="1:3" x14ac:dyDescent="0.5">
      <c r="A1177" t="s">
        <v>2057</v>
      </c>
      <c r="B1177">
        <v>2</v>
      </c>
      <c r="C1177" t="s">
        <v>1121</v>
      </c>
    </row>
    <row r="1178" spans="1:3" x14ac:dyDescent="0.5">
      <c r="A1178" t="s">
        <v>2058</v>
      </c>
      <c r="B1178">
        <v>2</v>
      </c>
      <c r="C1178" t="s">
        <v>1121</v>
      </c>
    </row>
    <row r="1179" spans="1:3" x14ac:dyDescent="0.5">
      <c r="A1179" t="s">
        <v>2059</v>
      </c>
      <c r="B1179">
        <v>1</v>
      </c>
      <c r="C1179" t="s">
        <v>1121</v>
      </c>
    </row>
    <row r="1180" spans="1:3" x14ac:dyDescent="0.5">
      <c r="A1180" t="s">
        <v>2060</v>
      </c>
      <c r="B1180">
        <v>2</v>
      </c>
      <c r="C1180" t="s">
        <v>1121</v>
      </c>
    </row>
    <row r="1181" spans="1:3" x14ac:dyDescent="0.5">
      <c r="A1181" t="s">
        <v>37</v>
      </c>
      <c r="B1181">
        <v>3</v>
      </c>
      <c r="C1181" t="s">
        <v>1121</v>
      </c>
    </row>
    <row r="1182" spans="1:3" x14ac:dyDescent="0.5">
      <c r="A1182" t="s">
        <v>807</v>
      </c>
      <c r="B1182">
        <v>1</v>
      </c>
      <c r="C1182" t="s">
        <v>1121</v>
      </c>
    </row>
    <row r="1183" spans="1:3" x14ac:dyDescent="0.5">
      <c r="A1183" t="s">
        <v>2061</v>
      </c>
      <c r="B1183">
        <v>1</v>
      </c>
      <c r="C1183" t="s">
        <v>1126</v>
      </c>
    </row>
    <row r="1184" spans="1:3" x14ac:dyDescent="0.5">
      <c r="A1184" t="s">
        <v>2062</v>
      </c>
      <c r="B1184" t="s">
        <v>1119</v>
      </c>
      <c r="C1184" t="s">
        <v>1121</v>
      </c>
    </row>
    <row r="1185" spans="1:3" x14ac:dyDescent="0.5">
      <c r="A1185" t="s">
        <v>798</v>
      </c>
      <c r="B1185" t="s">
        <v>1119</v>
      </c>
      <c r="C1185" t="s">
        <v>1121</v>
      </c>
    </row>
    <row r="1186" spans="1:3" x14ac:dyDescent="0.5">
      <c r="A1186" t="s">
        <v>2063</v>
      </c>
      <c r="B1186">
        <v>1</v>
      </c>
      <c r="C1186" t="s">
        <v>1126</v>
      </c>
    </row>
    <row r="1187" spans="1:3" x14ac:dyDescent="0.5">
      <c r="A1187" t="s">
        <v>2064</v>
      </c>
      <c r="B1187">
        <v>1</v>
      </c>
      <c r="C1187" t="s">
        <v>1126</v>
      </c>
    </row>
    <row r="1188" spans="1:3" x14ac:dyDescent="0.5">
      <c r="A1188" t="s">
        <v>2065</v>
      </c>
      <c r="B1188">
        <v>1</v>
      </c>
      <c r="C1188" t="s">
        <v>1126</v>
      </c>
    </row>
    <row r="1189" spans="1:3" x14ac:dyDescent="0.5">
      <c r="A1189" t="s">
        <v>2066</v>
      </c>
      <c r="B1189">
        <v>2</v>
      </c>
      <c r="C1189" t="s">
        <v>1126</v>
      </c>
    </row>
    <row r="1190" spans="1:3" x14ac:dyDescent="0.5">
      <c r="A1190" t="s">
        <v>2067</v>
      </c>
      <c r="B1190">
        <v>1</v>
      </c>
      <c r="C1190" t="s">
        <v>1126</v>
      </c>
    </row>
    <row r="1191" spans="1:3" x14ac:dyDescent="0.5">
      <c r="A1191" t="s">
        <v>2068</v>
      </c>
      <c r="B1191">
        <v>1</v>
      </c>
      <c r="C1191" t="s">
        <v>1126</v>
      </c>
    </row>
    <row r="1192" spans="1:3" x14ac:dyDescent="0.5">
      <c r="A1192" t="s">
        <v>2069</v>
      </c>
      <c r="B1192">
        <v>1</v>
      </c>
      <c r="C1192" t="s">
        <v>1126</v>
      </c>
    </row>
    <row r="1193" spans="1:3" x14ac:dyDescent="0.5">
      <c r="A1193" t="s">
        <v>2070</v>
      </c>
      <c r="B1193">
        <v>1</v>
      </c>
      <c r="C1193" t="s">
        <v>1147</v>
      </c>
    </row>
    <row r="1194" spans="1:3" x14ac:dyDescent="0.5">
      <c r="A1194" t="s">
        <v>2071</v>
      </c>
      <c r="B1194">
        <v>1</v>
      </c>
      <c r="C1194" t="s">
        <v>1126</v>
      </c>
    </row>
    <row r="1195" spans="1:3" x14ac:dyDescent="0.5">
      <c r="A1195" t="s">
        <v>2072</v>
      </c>
      <c r="B1195">
        <v>2</v>
      </c>
      <c r="C1195" t="s">
        <v>1126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F876-C534-4F7E-BD68-9ADF5A51F90F}">
  <dimension ref="A1:C165"/>
  <sheetViews>
    <sheetView workbookViewId="0">
      <selection activeCell="E9" sqref="E9"/>
    </sheetView>
  </sheetViews>
  <sheetFormatPr defaultRowHeight="15.75" x14ac:dyDescent="0.5"/>
  <sheetData>
    <row r="1" spans="1:3" x14ac:dyDescent="0.5">
      <c r="A1" t="s">
        <v>0</v>
      </c>
      <c r="B1" t="s">
        <v>1108</v>
      </c>
      <c r="C1" t="s">
        <v>1107</v>
      </c>
    </row>
    <row r="2" spans="1:3" x14ac:dyDescent="0.5">
      <c r="A2" t="s">
        <v>524</v>
      </c>
      <c r="B2">
        <v>1222</v>
      </c>
      <c r="C2">
        <v>1452</v>
      </c>
    </row>
    <row r="3" spans="1:3" x14ac:dyDescent="0.5">
      <c r="A3" t="s">
        <v>996</v>
      </c>
      <c r="B3">
        <v>1221</v>
      </c>
      <c r="C3">
        <v>1280</v>
      </c>
    </row>
    <row r="4" spans="1:3" x14ac:dyDescent="0.5">
      <c r="A4" t="s">
        <v>520</v>
      </c>
      <c r="B4">
        <v>1220</v>
      </c>
      <c r="C4">
        <v>5120</v>
      </c>
    </row>
    <row r="5" spans="1:3" x14ac:dyDescent="0.5">
      <c r="A5" t="s">
        <v>923</v>
      </c>
      <c r="B5">
        <v>0</v>
      </c>
      <c r="C5">
        <v>2300</v>
      </c>
    </row>
    <row r="6" spans="1:3" x14ac:dyDescent="0.5">
      <c r="A6" t="s">
        <v>590</v>
      </c>
      <c r="B6">
        <v>1225</v>
      </c>
      <c r="C6">
        <v>700</v>
      </c>
    </row>
    <row r="7" spans="1:3" x14ac:dyDescent="0.5">
      <c r="A7" t="s">
        <v>578</v>
      </c>
      <c r="B7">
        <v>1219</v>
      </c>
      <c r="C7">
        <v>700</v>
      </c>
    </row>
    <row r="8" spans="1:3" x14ac:dyDescent="0.5">
      <c r="A8" t="s">
        <v>815</v>
      </c>
      <c r="B8">
        <v>1214</v>
      </c>
      <c r="C8">
        <v>1100</v>
      </c>
    </row>
    <row r="9" spans="1:3" x14ac:dyDescent="0.5">
      <c r="A9" t="s">
        <v>456</v>
      </c>
      <c r="B9">
        <v>1210</v>
      </c>
      <c r="C9">
        <v>763</v>
      </c>
    </row>
    <row r="10" spans="1:3" x14ac:dyDescent="0.5">
      <c r="A10" t="s">
        <v>658</v>
      </c>
      <c r="B10">
        <v>1215</v>
      </c>
      <c r="C10">
        <v>1600</v>
      </c>
    </row>
    <row r="11" spans="1:3" x14ac:dyDescent="0.5">
      <c r="A11" t="s">
        <v>126</v>
      </c>
      <c r="B11">
        <v>1209</v>
      </c>
      <c r="C11">
        <v>882</v>
      </c>
    </row>
    <row r="12" spans="1:3" x14ac:dyDescent="0.5">
      <c r="A12" t="s">
        <v>973</v>
      </c>
      <c r="B12">
        <v>1204</v>
      </c>
      <c r="C12">
        <v>2100</v>
      </c>
    </row>
    <row r="13" spans="1:3" x14ac:dyDescent="0.5">
      <c r="A13" t="s">
        <v>511</v>
      </c>
      <c r="B13">
        <v>1208</v>
      </c>
      <c r="C13">
        <v>600</v>
      </c>
    </row>
    <row r="14" spans="1:3" x14ac:dyDescent="0.5">
      <c r="A14" t="s">
        <v>933</v>
      </c>
      <c r="B14">
        <v>1205</v>
      </c>
      <c r="C14">
        <v>500</v>
      </c>
    </row>
    <row r="15" spans="1:3" x14ac:dyDescent="0.5">
      <c r="A15" t="s">
        <v>961</v>
      </c>
      <c r="B15">
        <v>1206</v>
      </c>
      <c r="C15">
        <v>950</v>
      </c>
    </row>
    <row r="16" spans="1:3" x14ac:dyDescent="0.5">
      <c r="A16" t="s">
        <v>963</v>
      </c>
      <c r="B16">
        <v>1207</v>
      </c>
      <c r="C16">
        <v>2200</v>
      </c>
    </row>
    <row r="17" spans="1:3" x14ac:dyDescent="0.5">
      <c r="A17" t="s">
        <v>574</v>
      </c>
      <c r="B17">
        <v>1201</v>
      </c>
      <c r="C17">
        <v>700</v>
      </c>
    </row>
    <row r="18" spans="1:3" x14ac:dyDescent="0.5">
      <c r="A18" t="s">
        <v>429</v>
      </c>
      <c r="B18">
        <v>1199</v>
      </c>
      <c r="C18">
        <v>2600</v>
      </c>
    </row>
    <row r="19" spans="1:3" x14ac:dyDescent="0.5">
      <c r="A19" t="s">
        <v>1087</v>
      </c>
      <c r="B19">
        <v>1198</v>
      </c>
      <c r="C19">
        <v>860</v>
      </c>
    </row>
    <row r="20" spans="1:3" x14ac:dyDescent="0.5">
      <c r="A20" t="s">
        <v>857</v>
      </c>
      <c r="B20">
        <v>1193</v>
      </c>
      <c r="C20">
        <v>4067</v>
      </c>
    </row>
    <row r="21" spans="1:3" x14ac:dyDescent="0.5">
      <c r="A21" t="s">
        <v>624</v>
      </c>
      <c r="B21">
        <v>1191</v>
      </c>
      <c r="C21">
        <v>760</v>
      </c>
    </row>
    <row r="22" spans="1:3" x14ac:dyDescent="0.5">
      <c r="A22" t="s">
        <v>708</v>
      </c>
      <c r="B22">
        <v>1180</v>
      </c>
      <c r="C22">
        <v>2400</v>
      </c>
    </row>
    <row r="23" spans="1:3" x14ac:dyDescent="0.5">
      <c r="A23" t="s">
        <v>804</v>
      </c>
      <c r="B23">
        <v>1178</v>
      </c>
      <c r="C23">
        <v>327</v>
      </c>
    </row>
    <row r="24" spans="1:3" x14ac:dyDescent="0.5">
      <c r="A24" t="s">
        <v>468</v>
      </c>
      <c r="B24">
        <v>1177</v>
      </c>
      <c r="C24">
        <v>1600</v>
      </c>
    </row>
    <row r="25" spans="1:3" x14ac:dyDescent="0.5">
      <c r="A25" t="s">
        <v>502</v>
      </c>
      <c r="B25">
        <v>1176</v>
      </c>
      <c r="C25">
        <v>2400</v>
      </c>
    </row>
    <row r="26" spans="1:3" x14ac:dyDescent="0.5">
      <c r="A26" t="s">
        <v>601</v>
      </c>
      <c r="B26">
        <v>1171</v>
      </c>
      <c r="C26">
        <v>750</v>
      </c>
    </row>
    <row r="27" spans="1:3" x14ac:dyDescent="0.5">
      <c r="A27" t="s">
        <v>71</v>
      </c>
      <c r="B27">
        <v>1170</v>
      </c>
      <c r="C27">
        <v>700</v>
      </c>
    </row>
    <row r="28" spans="1:3" x14ac:dyDescent="0.5">
      <c r="A28" t="s">
        <v>60</v>
      </c>
      <c r="B28">
        <v>1169</v>
      </c>
      <c r="C28">
        <v>1450</v>
      </c>
    </row>
    <row r="29" spans="1:3" x14ac:dyDescent="0.5">
      <c r="A29" t="s">
        <v>1076</v>
      </c>
      <c r="B29">
        <v>1167</v>
      </c>
      <c r="C29">
        <v>400</v>
      </c>
    </row>
    <row r="30" spans="1:3" x14ac:dyDescent="0.5">
      <c r="A30" t="s">
        <v>702</v>
      </c>
      <c r="B30">
        <v>1163</v>
      </c>
      <c r="C30">
        <v>840</v>
      </c>
    </row>
    <row r="31" spans="1:3" x14ac:dyDescent="0.5">
      <c r="A31" t="s">
        <v>569</v>
      </c>
      <c r="B31">
        <v>1162</v>
      </c>
      <c r="C31">
        <v>700</v>
      </c>
    </row>
    <row r="32" spans="1:3" x14ac:dyDescent="0.5">
      <c r="A32" t="s">
        <v>606</v>
      </c>
      <c r="B32">
        <v>1161</v>
      </c>
      <c r="C32">
        <v>450</v>
      </c>
    </row>
    <row r="33" spans="1:3" x14ac:dyDescent="0.5">
      <c r="A33" t="s">
        <v>141</v>
      </c>
      <c r="B33">
        <v>1160</v>
      </c>
      <c r="C33">
        <v>900</v>
      </c>
    </row>
    <row r="34" spans="1:3" x14ac:dyDescent="0.5">
      <c r="A34" t="s">
        <v>460</v>
      </c>
      <c r="B34">
        <v>1159</v>
      </c>
      <c r="C34">
        <v>1542</v>
      </c>
    </row>
    <row r="35" spans="1:3" x14ac:dyDescent="0.5">
      <c r="A35" t="s">
        <v>1028</v>
      </c>
      <c r="B35">
        <v>1158</v>
      </c>
      <c r="C35">
        <v>1400</v>
      </c>
    </row>
    <row r="36" spans="1:3" x14ac:dyDescent="0.5">
      <c r="A36" t="s">
        <v>487</v>
      </c>
      <c r="B36">
        <v>1157</v>
      </c>
      <c r="C36">
        <v>1300</v>
      </c>
    </row>
    <row r="37" spans="1:3" x14ac:dyDescent="0.5">
      <c r="A37" t="s">
        <v>495</v>
      </c>
      <c r="B37">
        <v>1156</v>
      </c>
      <c r="C37">
        <v>1300</v>
      </c>
    </row>
    <row r="38" spans="1:3" x14ac:dyDescent="0.5">
      <c r="A38" t="s">
        <v>719</v>
      </c>
      <c r="B38">
        <v>1153</v>
      </c>
      <c r="C38">
        <v>550</v>
      </c>
    </row>
    <row r="39" spans="1:3" x14ac:dyDescent="0.5">
      <c r="A39" t="s">
        <v>997</v>
      </c>
      <c r="B39">
        <v>1152</v>
      </c>
      <c r="C39">
        <v>2600</v>
      </c>
    </row>
    <row r="40" spans="1:3" x14ac:dyDescent="0.5">
      <c r="A40" t="s">
        <v>611</v>
      </c>
      <c r="B40">
        <v>1149</v>
      </c>
      <c r="C40">
        <v>450</v>
      </c>
    </row>
    <row r="41" spans="1:3" x14ac:dyDescent="0.5">
      <c r="A41" t="s">
        <v>1077</v>
      </c>
      <c r="B41">
        <v>1147</v>
      </c>
      <c r="C41">
        <v>1420</v>
      </c>
    </row>
    <row r="42" spans="1:3" x14ac:dyDescent="0.5">
      <c r="A42" t="s">
        <v>319</v>
      </c>
      <c r="B42">
        <v>1145</v>
      </c>
      <c r="C42">
        <v>518</v>
      </c>
    </row>
    <row r="43" spans="1:3" x14ac:dyDescent="0.5">
      <c r="A43" t="s">
        <v>686</v>
      </c>
      <c r="B43">
        <v>1144</v>
      </c>
      <c r="C43">
        <v>651</v>
      </c>
    </row>
    <row r="44" spans="1:3" x14ac:dyDescent="0.5">
      <c r="A44" t="s">
        <v>984</v>
      </c>
      <c r="B44">
        <v>1143</v>
      </c>
      <c r="C44">
        <v>325</v>
      </c>
    </row>
    <row r="45" spans="1:3" x14ac:dyDescent="0.5">
      <c r="A45" t="s">
        <v>985</v>
      </c>
      <c r="B45">
        <v>1142</v>
      </c>
      <c r="C45">
        <v>1665</v>
      </c>
    </row>
    <row r="46" spans="1:3" x14ac:dyDescent="0.5">
      <c r="A46" t="s">
        <v>1043</v>
      </c>
      <c r="B46">
        <v>1137</v>
      </c>
      <c r="C46">
        <v>2500</v>
      </c>
    </row>
    <row r="47" spans="1:3" x14ac:dyDescent="0.5">
      <c r="A47" t="s">
        <v>552</v>
      </c>
      <c r="B47">
        <v>1134</v>
      </c>
      <c r="C47">
        <v>2651</v>
      </c>
    </row>
    <row r="48" spans="1:3" x14ac:dyDescent="0.5">
      <c r="A48" t="s">
        <v>681</v>
      </c>
      <c r="B48">
        <v>1133</v>
      </c>
      <c r="C48">
        <v>1350</v>
      </c>
    </row>
    <row r="49" spans="1:3" x14ac:dyDescent="0.5">
      <c r="A49" t="s">
        <v>759</v>
      </c>
      <c r="B49">
        <v>1123</v>
      </c>
      <c r="C49">
        <v>780</v>
      </c>
    </row>
    <row r="50" spans="1:3" x14ac:dyDescent="0.5">
      <c r="A50" t="s">
        <v>165</v>
      </c>
      <c r="B50">
        <v>1119</v>
      </c>
      <c r="C50">
        <v>2400</v>
      </c>
    </row>
    <row r="51" spans="1:3" x14ac:dyDescent="0.5">
      <c r="A51" t="s">
        <v>176</v>
      </c>
      <c r="B51">
        <v>1115</v>
      </c>
      <c r="C51">
        <v>950</v>
      </c>
    </row>
    <row r="52" spans="1:3" x14ac:dyDescent="0.5">
      <c r="A52" t="s">
        <v>1008</v>
      </c>
      <c r="B52">
        <v>1114</v>
      </c>
      <c r="C52">
        <v>1100</v>
      </c>
    </row>
    <row r="53" spans="1:3" x14ac:dyDescent="0.5">
      <c r="A53" t="s">
        <v>977</v>
      </c>
      <c r="B53">
        <v>1100</v>
      </c>
      <c r="C53">
        <v>2206</v>
      </c>
    </row>
    <row r="54" spans="1:3" x14ac:dyDescent="0.5">
      <c r="A54" t="s">
        <v>960</v>
      </c>
      <c r="B54">
        <v>1094</v>
      </c>
      <c r="C54">
        <v>500</v>
      </c>
    </row>
    <row r="55" spans="1:3" x14ac:dyDescent="0.5">
      <c r="A55" t="s">
        <v>958</v>
      </c>
      <c r="B55">
        <v>1093</v>
      </c>
      <c r="C55">
        <v>500</v>
      </c>
    </row>
    <row r="56" spans="1:3" x14ac:dyDescent="0.5">
      <c r="A56" t="s">
        <v>952</v>
      </c>
      <c r="B56">
        <v>1092</v>
      </c>
      <c r="C56">
        <v>500</v>
      </c>
    </row>
    <row r="57" spans="1:3" x14ac:dyDescent="0.5">
      <c r="A57" t="s">
        <v>955</v>
      </c>
      <c r="B57">
        <v>1091</v>
      </c>
      <c r="C57">
        <v>500</v>
      </c>
    </row>
    <row r="58" spans="1:3" x14ac:dyDescent="0.5">
      <c r="A58" t="s">
        <v>949</v>
      </c>
      <c r="B58">
        <v>1090</v>
      </c>
      <c r="C58">
        <v>600</v>
      </c>
    </row>
    <row r="59" spans="1:3" x14ac:dyDescent="0.5">
      <c r="A59" t="s">
        <v>991</v>
      </c>
      <c r="B59">
        <v>1075</v>
      </c>
      <c r="C59">
        <v>1900</v>
      </c>
    </row>
    <row r="60" spans="1:3" x14ac:dyDescent="0.5">
      <c r="A60" t="s">
        <v>677</v>
      </c>
      <c r="B60">
        <v>1073</v>
      </c>
      <c r="C60">
        <v>888</v>
      </c>
    </row>
    <row r="61" spans="1:3" x14ac:dyDescent="0.5">
      <c r="A61" t="s">
        <v>365</v>
      </c>
      <c r="B61">
        <v>1072</v>
      </c>
      <c r="C61">
        <v>1300</v>
      </c>
    </row>
    <row r="62" spans="1:3" x14ac:dyDescent="0.5">
      <c r="A62" t="s">
        <v>506</v>
      </c>
      <c r="B62">
        <v>1069</v>
      </c>
      <c r="C62">
        <v>2300</v>
      </c>
    </row>
    <row r="63" spans="1:3" x14ac:dyDescent="0.5">
      <c r="A63" t="s">
        <v>445</v>
      </c>
      <c r="B63">
        <v>1060</v>
      </c>
      <c r="C63">
        <v>750</v>
      </c>
    </row>
    <row r="64" spans="1:3" x14ac:dyDescent="0.5">
      <c r="A64" t="s">
        <v>831</v>
      </c>
      <c r="B64">
        <v>1058</v>
      </c>
      <c r="C64">
        <v>839</v>
      </c>
    </row>
    <row r="65" spans="1:3" x14ac:dyDescent="0.5">
      <c r="A65" t="s">
        <v>643</v>
      </c>
      <c r="B65">
        <v>1056</v>
      </c>
      <c r="C65">
        <v>1002</v>
      </c>
    </row>
    <row r="66" spans="1:3" x14ac:dyDescent="0.5">
      <c r="A66" t="s">
        <v>988</v>
      </c>
      <c r="B66">
        <v>1053</v>
      </c>
      <c r="C66">
        <v>750</v>
      </c>
    </row>
    <row r="67" spans="1:3" x14ac:dyDescent="0.5">
      <c r="A67" t="s">
        <v>1031</v>
      </c>
      <c r="B67">
        <v>1052</v>
      </c>
      <c r="C67">
        <v>650</v>
      </c>
    </row>
    <row r="68" spans="1:3" x14ac:dyDescent="0.5">
      <c r="A68" t="s">
        <v>892</v>
      </c>
      <c r="B68">
        <v>1051</v>
      </c>
      <c r="C68">
        <v>1777</v>
      </c>
    </row>
    <row r="69" spans="1:3" x14ac:dyDescent="0.5">
      <c r="A69" t="s">
        <v>890</v>
      </c>
      <c r="B69">
        <v>1050</v>
      </c>
      <c r="C69">
        <v>2065</v>
      </c>
    </row>
    <row r="70" spans="1:3" x14ac:dyDescent="0.5">
      <c r="A70" t="s">
        <v>216</v>
      </c>
      <c r="B70">
        <v>1029</v>
      </c>
      <c r="C70">
        <v>1800</v>
      </c>
    </row>
    <row r="71" spans="1:3" x14ac:dyDescent="0.5">
      <c r="A71" t="s">
        <v>530</v>
      </c>
      <c r="B71">
        <v>1025</v>
      </c>
      <c r="C71">
        <v>1100</v>
      </c>
    </row>
    <row r="72" spans="1:3" x14ac:dyDescent="0.5">
      <c r="A72" t="s">
        <v>930</v>
      </c>
      <c r="B72">
        <v>1024</v>
      </c>
      <c r="C72">
        <v>700</v>
      </c>
    </row>
    <row r="73" spans="1:3" x14ac:dyDescent="0.5">
      <c r="A73" t="s">
        <v>246</v>
      </c>
      <c r="B73">
        <v>1022</v>
      </c>
      <c r="C73">
        <v>760</v>
      </c>
    </row>
    <row r="74" spans="1:3" x14ac:dyDescent="0.5">
      <c r="A74" t="s">
        <v>779</v>
      </c>
      <c r="B74">
        <v>1014</v>
      </c>
      <c r="C74">
        <v>900</v>
      </c>
    </row>
    <row r="75" spans="1:3" x14ac:dyDescent="0.5">
      <c r="A75" t="s">
        <v>307</v>
      </c>
      <c r="B75">
        <v>1013</v>
      </c>
      <c r="C75">
        <v>1151</v>
      </c>
    </row>
    <row r="76" spans="1:3" x14ac:dyDescent="0.5">
      <c r="A76" t="s">
        <v>515</v>
      </c>
      <c r="B76">
        <v>1012</v>
      </c>
      <c r="C76">
        <v>1700</v>
      </c>
    </row>
    <row r="77" spans="1:3" x14ac:dyDescent="0.5">
      <c r="A77" t="s">
        <v>1091</v>
      </c>
      <c r="B77">
        <v>1011</v>
      </c>
      <c r="C77">
        <v>2500</v>
      </c>
    </row>
    <row r="78" spans="1:3" x14ac:dyDescent="0.5">
      <c r="A78" t="s">
        <v>109</v>
      </c>
      <c r="B78">
        <v>1010</v>
      </c>
      <c r="C78">
        <v>693</v>
      </c>
    </row>
    <row r="79" spans="1:3" x14ac:dyDescent="0.5">
      <c r="A79" t="s">
        <v>97</v>
      </c>
      <c r="B79">
        <v>1009</v>
      </c>
      <c r="C79">
        <v>1200</v>
      </c>
    </row>
    <row r="80" spans="1:3" x14ac:dyDescent="0.5">
      <c r="A80" t="s">
        <v>85</v>
      </c>
      <c r="B80">
        <v>1008</v>
      </c>
      <c r="C80">
        <v>1089</v>
      </c>
    </row>
    <row r="81" spans="1:3" x14ac:dyDescent="0.5">
      <c r="A81" t="s">
        <v>185</v>
      </c>
      <c r="B81">
        <v>1007</v>
      </c>
      <c r="C81">
        <v>800</v>
      </c>
    </row>
    <row r="82" spans="1:3" x14ac:dyDescent="0.5">
      <c r="A82" t="s">
        <v>667</v>
      </c>
      <c r="B82">
        <v>1005</v>
      </c>
      <c r="C82">
        <v>2000</v>
      </c>
    </row>
    <row r="83" spans="1:3" x14ac:dyDescent="0.5">
      <c r="A83" t="s">
        <v>439</v>
      </c>
      <c r="B83">
        <v>1002</v>
      </c>
      <c r="C83">
        <v>626</v>
      </c>
    </row>
    <row r="84" spans="1:3" x14ac:dyDescent="0.5">
      <c r="A84" t="s">
        <v>556</v>
      </c>
      <c r="B84">
        <v>1001</v>
      </c>
      <c r="C84">
        <v>1700</v>
      </c>
    </row>
    <row r="85" spans="1:3" x14ac:dyDescent="0.5">
      <c r="A85" t="s">
        <v>1037</v>
      </c>
      <c r="B85">
        <v>997</v>
      </c>
      <c r="C85">
        <v>2700</v>
      </c>
    </row>
    <row r="86" spans="1:3" x14ac:dyDescent="0.5">
      <c r="A86" t="s">
        <v>885</v>
      </c>
      <c r="B86">
        <v>978</v>
      </c>
      <c r="C86">
        <v>425</v>
      </c>
    </row>
    <row r="87" spans="1:3" x14ac:dyDescent="0.5">
      <c r="A87" t="s">
        <v>882</v>
      </c>
      <c r="B87">
        <v>977</v>
      </c>
      <c r="C87">
        <v>520</v>
      </c>
    </row>
    <row r="88" spans="1:3" x14ac:dyDescent="0.5">
      <c r="A88" t="s">
        <v>879</v>
      </c>
      <c r="B88">
        <v>953</v>
      </c>
      <c r="C88">
        <v>450</v>
      </c>
    </row>
    <row r="89" spans="1:3" x14ac:dyDescent="0.5">
      <c r="A89" t="s">
        <v>875</v>
      </c>
      <c r="B89">
        <v>952</v>
      </c>
      <c r="C89">
        <v>450</v>
      </c>
    </row>
    <row r="90" spans="1:3" x14ac:dyDescent="0.5">
      <c r="A90" t="s">
        <v>1099</v>
      </c>
      <c r="B90">
        <v>948</v>
      </c>
      <c r="C90">
        <v>750</v>
      </c>
    </row>
    <row r="91" spans="1:3" x14ac:dyDescent="0.5">
      <c r="A91" t="s">
        <v>1045</v>
      </c>
      <c r="B91">
        <v>934</v>
      </c>
      <c r="C91">
        <v>1500</v>
      </c>
    </row>
    <row r="92" spans="1:3" x14ac:dyDescent="0.5">
      <c r="A92" t="s">
        <v>994</v>
      </c>
      <c r="B92">
        <v>932</v>
      </c>
      <c r="C92">
        <v>3000</v>
      </c>
    </row>
    <row r="93" spans="1:3" x14ac:dyDescent="0.5">
      <c r="A93" t="s">
        <v>202</v>
      </c>
      <c r="B93">
        <v>930</v>
      </c>
      <c r="C93">
        <v>3900</v>
      </c>
    </row>
    <row r="94" spans="1:3" x14ac:dyDescent="0.5">
      <c r="A94" t="s">
        <v>593</v>
      </c>
      <c r="B94">
        <v>927</v>
      </c>
      <c r="C94">
        <v>417</v>
      </c>
    </row>
    <row r="95" spans="1:3" x14ac:dyDescent="0.5">
      <c r="A95" t="s">
        <v>688</v>
      </c>
      <c r="B95">
        <v>918</v>
      </c>
      <c r="C95">
        <v>2620</v>
      </c>
    </row>
    <row r="96" spans="1:3" x14ac:dyDescent="0.5">
      <c r="A96" t="s">
        <v>586</v>
      </c>
      <c r="B96">
        <v>907</v>
      </c>
      <c r="C96">
        <v>1450</v>
      </c>
    </row>
    <row r="97" spans="1:3" x14ac:dyDescent="0.5">
      <c r="A97" t="s">
        <v>696</v>
      </c>
      <c r="B97">
        <v>870</v>
      </c>
      <c r="C97">
        <v>700</v>
      </c>
    </row>
    <row r="98" spans="1:3" x14ac:dyDescent="0.5">
      <c r="A98" t="s">
        <v>563</v>
      </c>
      <c r="B98">
        <v>840</v>
      </c>
      <c r="C98">
        <v>2200</v>
      </c>
    </row>
    <row r="99" spans="1:3" x14ac:dyDescent="0.5">
      <c r="A99" t="s">
        <v>737</v>
      </c>
      <c r="B99">
        <v>815</v>
      </c>
      <c r="C99">
        <v>381</v>
      </c>
    </row>
    <row r="100" spans="1:3" x14ac:dyDescent="0.5">
      <c r="A100" t="s">
        <v>782</v>
      </c>
      <c r="B100">
        <v>801</v>
      </c>
      <c r="C100">
        <v>700</v>
      </c>
    </row>
    <row r="101" spans="1:3" x14ac:dyDescent="0.5">
      <c r="A101" t="s">
        <v>826</v>
      </c>
      <c r="B101">
        <v>798</v>
      </c>
      <c r="C101">
        <v>600</v>
      </c>
    </row>
    <row r="102" spans="1:3" x14ac:dyDescent="0.5">
      <c r="A102" t="s">
        <v>824</v>
      </c>
      <c r="B102">
        <v>797</v>
      </c>
      <c r="C102">
        <v>875</v>
      </c>
    </row>
    <row r="103" spans="1:3" x14ac:dyDescent="0.5">
      <c r="A103" t="s">
        <v>822</v>
      </c>
      <c r="B103">
        <v>796</v>
      </c>
      <c r="C103">
        <v>900</v>
      </c>
    </row>
    <row r="104" spans="1:3" x14ac:dyDescent="0.5">
      <c r="A104" t="s">
        <v>818</v>
      </c>
      <c r="B104">
        <v>795</v>
      </c>
      <c r="C104">
        <v>900</v>
      </c>
    </row>
    <row r="105" spans="1:3" x14ac:dyDescent="0.5">
      <c r="A105" t="s">
        <v>1094</v>
      </c>
      <c r="B105">
        <v>783</v>
      </c>
      <c r="C105">
        <v>750</v>
      </c>
    </row>
    <row r="106" spans="1:3" x14ac:dyDescent="0.5">
      <c r="A106" t="s">
        <v>618</v>
      </c>
      <c r="B106">
        <v>778</v>
      </c>
      <c r="C106">
        <v>529</v>
      </c>
    </row>
    <row r="107" spans="1:3" x14ac:dyDescent="0.5">
      <c r="A107" t="s">
        <v>52</v>
      </c>
      <c r="B107">
        <v>775</v>
      </c>
      <c r="C107">
        <v>520</v>
      </c>
    </row>
    <row r="108" spans="1:3" x14ac:dyDescent="0.5">
      <c r="A108" t="s">
        <v>919</v>
      </c>
      <c r="B108">
        <v>772</v>
      </c>
      <c r="C108">
        <v>550</v>
      </c>
    </row>
    <row r="109" spans="1:3" x14ac:dyDescent="0.5">
      <c r="A109" t="s">
        <v>981</v>
      </c>
      <c r="B109">
        <v>765</v>
      </c>
      <c r="C109">
        <v>1170</v>
      </c>
    </row>
    <row r="110" spans="1:3" x14ac:dyDescent="0.5">
      <c r="A110" t="s">
        <v>860</v>
      </c>
      <c r="B110">
        <v>764</v>
      </c>
      <c r="C110">
        <v>800</v>
      </c>
    </row>
    <row r="111" spans="1:3" x14ac:dyDescent="0.5">
      <c r="A111" t="s">
        <v>974</v>
      </c>
      <c r="B111">
        <v>670</v>
      </c>
      <c r="C111">
        <v>550</v>
      </c>
    </row>
    <row r="112" spans="1:3" x14ac:dyDescent="0.5">
      <c r="A112" t="s">
        <v>1035</v>
      </c>
      <c r="B112">
        <v>650</v>
      </c>
      <c r="C112">
        <v>1100</v>
      </c>
    </row>
    <row r="113" spans="1:3" x14ac:dyDescent="0.5">
      <c r="A113" t="s">
        <v>80</v>
      </c>
      <c r="B113">
        <v>643</v>
      </c>
      <c r="C113">
        <v>750</v>
      </c>
    </row>
    <row r="114" spans="1:3" x14ac:dyDescent="0.5">
      <c r="A114" t="s">
        <v>513</v>
      </c>
      <c r="B114">
        <v>622</v>
      </c>
      <c r="C114">
        <v>450</v>
      </c>
    </row>
    <row r="115" spans="1:3" x14ac:dyDescent="0.5">
      <c r="A115" t="s">
        <v>273</v>
      </c>
      <c r="B115">
        <v>619</v>
      </c>
      <c r="C115">
        <v>1440</v>
      </c>
    </row>
    <row r="116" spans="1:3" x14ac:dyDescent="0.5">
      <c r="A116" t="s">
        <v>236</v>
      </c>
      <c r="B116">
        <v>604</v>
      </c>
      <c r="C116">
        <v>900</v>
      </c>
    </row>
    <row r="117" spans="1:3" x14ac:dyDescent="0.5">
      <c r="A117" t="s">
        <v>222</v>
      </c>
      <c r="B117">
        <v>599</v>
      </c>
      <c r="C117">
        <v>3000</v>
      </c>
    </row>
    <row r="118" spans="1:3" x14ac:dyDescent="0.5">
      <c r="A118" t="s">
        <v>336</v>
      </c>
      <c r="B118">
        <v>597</v>
      </c>
      <c r="C118">
        <v>2000</v>
      </c>
    </row>
    <row r="119" spans="1:3" x14ac:dyDescent="0.5">
      <c r="A119" t="s">
        <v>914</v>
      </c>
      <c r="B119">
        <v>582</v>
      </c>
      <c r="C119">
        <v>600</v>
      </c>
    </row>
    <row r="120" spans="1:3" x14ac:dyDescent="0.5">
      <c r="A120" t="s">
        <v>542</v>
      </c>
      <c r="B120">
        <v>579</v>
      </c>
      <c r="C120">
        <v>576</v>
      </c>
    </row>
    <row r="121" spans="1:3" x14ac:dyDescent="0.5">
      <c r="A121" t="s">
        <v>897</v>
      </c>
      <c r="B121">
        <v>561</v>
      </c>
      <c r="C121">
        <v>1100</v>
      </c>
    </row>
    <row r="122" spans="1:3" x14ac:dyDescent="0.5">
      <c r="A122" t="s">
        <v>475</v>
      </c>
      <c r="B122">
        <v>542</v>
      </c>
      <c r="C122">
        <v>1500</v>
      </c>
    </row>
    <row r="123" spans="1:3" x14ac:dyDescent="0.5">
      <c r="A123" t="s">
        <v>262</v>
      </c>
      <c r="B123">
        <v>538</v>
      </c>
      <c r="C123">
        <v>2000</v>
      </c>
    </row>
    <row r="124" spans="1:3" x14ac:dyDescent="0.5">
      <c r="A124" t="s">
        <v>342</v>
      </c>
      <c r="B124">
        <v>507</v>
      </c>
      <c r="C124">
        <v>675</v>
      </c>
    </row>
    <row r="125" spans="1:3" x14ac:dyDescent="0.5">
      <c r="A125" t="s">
        <v>939</v>
      </c>
      <c r="B125">
        <v>499</v>
      </c>
      <c r="C125">
        <v>1400</v>
      </c>
    </row>
    <row r="126" spans="1:3" x14ac:dyDescent="0.5">
      <c r="A126" t="s">
        <v>1088</v>
      </c>
      <c r="B126">
        <v>497</v>
      </c>
      <c r="C126">
        <v>850</v>
      </c>
    </row>
    <row r="127" spans="1:3" x14ac:dyDescent="0.5">
      <c r="A127" t="s">
        <v>799</v>
      </c>
      <c r="B127">
        <v>474</v>
      </c>
      <c r="C127">
        <v>500</v>
      </c>
    </row>
    <row r="128" spans="1:3" x14ac:dyDescent="0.5">
      <c r="A128" t="s">
        <v>794</v>
      </c>
      <c r="B128">
        <v>465</v>
      </c>
      <c r="C128">
        <v>650</v>
      </c>
    </row>
    <row r="129" spans="1:3" x14ac:dyDescent="0.5">
      <c r="A129" t="s">
        <v>565</v>
      </c>
      <c r="B129">
        <v>464</v>
      </c>
      <c r="C129">
        <v>1400</v>
      </c>
    </row>
    <row r="130" spans="1:3" x14ac:dyDescent="0.5">
      <c r="A130" t="s">
        <v>580</v>
      </c>
      <c r="B130">
        <v>455</v>
      </c>
      <c r="C130">
        <v>650</v>
      </c>
    </row>
    <row r="131" spans="1:3" x14ac:dyDescent="0.5">
      <c r="A131" t="s">
        <v>900</v>
      </c>
      <c r="B131">
        <v>451</v>
      </c>
      <c r="C131">
        <v>400</v>
      </c>
    </row>
    <row r="132" spans="1:3" x14ac:dyDescent="0.5">
      <c r="A132" t="s">
        <v>907</v>
      </c>
      <c r="B132">
        <v>445</v>
      </c>
      <c r="C132">
        <v>390</v>
      </c>
    </row>
    <row r="133" spans="1:3" x14ac:dyDescent="0.5">
      <c r="A133" t="s">
        <v>863</v>
      </c>
      <c r="B133">
        <v>439</v>
      </c>
      <c r="C133">
        <v>960</v>
      </c>
    </row>
    <row r="134" spans="1:3" x14ac:dyDescent="0.5">
      <c r="A134" t="s">
        <v>976</v>
      </c>
      <c r="B134">
        <v>436</v>
      </c>
      <c r="C134">
        <v>420</v>
      </c>
    </row>
    <row r="135" spans="1:3" x14ac:dyDescent="0.5">
      <c r="A135" t="s">
        <v>947</v>
      </c>
      <c r="B135">
        <v>427</v>
      </c>
      <c r="C135">
        <v>550</v>
      </c>
    </row>
    <row r="136" spans="1:3" x14ac:dyDescent="0.5">
      <c r="A136" t="s">
        <v>926</v>
      </c>
      <c r="B136">
        <v>426</v>
      </c>
      <c r="C136">
        <v>550</v>
      </c>
    </row>
    <row r="137" spans="1:3" x14ac:dyDescent="0.5">
      <c r="A137" t="s">
        <v>1052</v>
      </c>
      <c r="B137">
        <v>377</v>
      </c>
      <c r="C137">
        <v>850</v>
      </c>
    </row>
    <row r="138" spans="1:3" x14ac:dyDescent="0.5">
      <c r="A138" t="s">
        <v>990</v>
      </c>
      <c r="B138">
        <v>366</v>
      </c>
      <c r="C138">
        <v>425</v>
      </c>
    </row>
    <row r="139" spans="1:3" x14ac:dyDescent="0.5">
      <c r="A139" t="s">
        <v>1109</v>
      </c>
      <c r="B139">
        <v>340</v>
      </c>
      <c r="C139">
        <v>950</v>
      </c>
    </row>
    <row r="140" spans="1:3" x14ac:dyDescent="0.5">
      <c r="A140" t="s">
        <v>415</v>
      </c>
      <c r="B140">
        <v>328</v>
      </c>
      <c r="C140">
        <v>700</v>
      </c>
    </row>
    <row r="141" spans="1:3" x14ac:dyDescent="0.5">
      <c r="A141" t="s">
        <v>887</v>
      </c>
      <c r="B141">
        <v>323</v>
      </c>
      <c r="C141">
        <v>800</v>
      </c>
    </row>
    <row r="142" spans="1:3" x14ac:dyDescent="0.5">
      <c r="A142" t="s">
        <v>894</v>
      </c>
      <c r="B142">
        <v>322</v>
      </c>
      <c r="C142">
        <v>800</v>
      </c>
    </row>
    <row r="143" spans="1:3" x14ac:dyDescent="0.5">
      <c r="A143" t="s">
        <v>526</v>
      </c>
      <c r="B143">
        <v>313</v>
      </c>
      <c r="C143">
        <v>1200</v>
      </c>
    </row>
    <row r="144" spans="1:3" x14ac:dyDescent="0.5">
      <c r="A144" t="s">
        <v>813</v>
      </c>
      <c r="B144">
        <v>312</v>
      </c>
      <c r="C144">
        <v>600</v>
      </c>
    </row>
    <row r="145" spans="1:3" x14ac:dyDescent="0.5">
      <c r="A145" t="s">
        <v>1069</v>
      </c>
      <c r="B145">
        <v>289</v>
      </c>
      <c r="C145">
        <v>425</v>
      </c>
    </row>
    <row r="146" spans="1:3" x14ac:dyDescent="0.5">
      <c r="A146" t="s">
        <v>482</v>
      </c>
      <c r="B146">
        <v>235</v>
      </c>
      <c r="C146">
        <v>1100</v>
      </c>
    </row>
    <row r="147" spans="1:3" x14ac:dyDescent="0.5">
      <c r="A147" t="s">
        <v>704</v>
      </c>
      <c r="B147">
        <v>245</v>
      </c>
      <c r="C147">
        <v>1800</v>
      </c>
    </row>
    <row r="148" spans="1:3" x14ac:dyDescent="0.5">
      <c r="A148" t="s">
        <v>966</v>
      </c>
      <c r="B148">
        <v>199</v>
      </c>
      <c r="C148">
        <v>750</v>
      </c>
    </row>
    <row r="149" spans="1:3" x14ac:dyDescent="0.5">
      <c r="A149" t="s">
        <v>771</v>
      </c>
      <c r="B149">
        <v>188</v>
      </c>
      <c r="C149">
        <v>750</v>
      </c>
    </row>
    <row r="150" spans="1:3" x14ac:dyDescent="0.5">
      <c r="A150" t="s">
        <v>661</v>
      </c>
      <c r="B150">
        <v>159</v>
      </c>
      <c r="C150">
        <v>1300</v>
      </c>
    </row>
    <row r="151" spans="1:3" x14ac:dyDescent="0.5">
      <c r="A151" t="s">
        <v>750</v>
      </c>
      <c r="B151">
        <v>150</v>
      </c>
      <c r="C151">
        <v>500</v>
      </c>
    </row>
    <row r="152" spans="1:3" x14ac:dyDescent="0.5">
      <c r="A152" t="s">
        <v>1065</v>
      </c>
      <c r="B152">
        <v>145</v>
      </c>
      <c r="C152">
        <v>1200</v>
      </c>
    </row>
    <row r="153" spans="1:3" x14ac:dyDescent="0.5">
      <c r="A153" t="s">
        <v>943</v>
      </c>
      <c r="B153">
        <v>142</v>
      </c>
      <c r="C153">
        <v>750</v>
      </c>
    </row>
    <row r="154" spans="1:3" x14ac:dyDescent="0.5">
      <c r="A154" t="s">
        <v>1072</v>
      </c>
      <c r="B154">
        <v>105</v>
      </c>
      <c r="C154">
        <v>880</v>
      </c>
    </row>
    <row r="155" spans="1:3" x14ac:dyDescent="0.5">
      <c r="A155" t="s">
        <v>743</v>
      </c>
      <c r="B155">
        <v>79</v>
      </c>
      <c r="C155">
        <v>450</v>
      </c>
    </row>
    <row r="156" spans="1:3" x14ac:dyDescent="0.5">
      <c r="A156" t="s">
        <v>733</v>
      </c>
      <c r="B156">
        <v>80</v>
      </c>
      <c r="C156">
        <v>400</v>
      </c>
    </row>
    <row r="157" spans="1:3" x14ac:dyDescent="0.5">
      <c r="A157" t="s">
        <v>638</v>
      </c>
      <c r="B157">
        <v>83</v>
      </c>
      <c r="C157">
        <v>750</v>
      </c>
    </row>
    <row r="158" spans="1:3" x14ac:dyDescent="0.5">
      <c r="A158" t="s">
        <v>206</v>
      </c>
      <c r="B158">
        <v>93</v>
      </c>
      <c r="C158">
        <v>750</v>
      </c>
    </row>
    <row r="159" spans="1:3" x14ac:dyDescent="0.5">
      <c r="A159" t="s">
        <v>1103</v>
      </c>
      <c r="B159">
        <v>1</v>
      </c>
      <c r="C159">
        <v>700</v>
      </c>
    </row>
    <row r="160" spans="1:3" x14ac:dyDescent="0.5">
      <c r="A160" t="s">
        <v>130</v>
      </c>
      <c r="B160">
        <v>9</v>
      </c>
      <c r="C160">
        <v>920</v>
      </c>
    </row>
    <row r="161" spans="1:3" x14ac:dyDescent="0.5">
      <c r="A161" t="s">
        <v>241</v>
      </c>
      <c r="B161">
        <v>19</v>
      </c>
      <c r="C161">
        <v>850</v>
      </c>
    </row>
    <row r="162" spans="1:3" x14ac:dyDescent="0.5">
      <c r="A162" t="s">
        <v>1040</v>
      </c>
      <c r="B162">
        <v>35</v>
      </c>
      <c r="C162">
        <v>400</v>
      </c>
    </row>
    <row r="163" spans="1:3" x14ac:dyDescent="0.5">
      <c r="A163" t="s">
        <v>999</v>
      </c>
      <c r="B163">
        <v>39</v>
      </c>
      <c r="C163">
        <v>715</v>
      </c>
    </row>
    <row r="164" spans="1:3" x14ac:dyDescent="0.5">
      <c r="A164" t="s">
        <v>807</v>
      </c>
      <c r="B164">
        <v>60</v>
      </c>
      <c r="C164">
        <v>450</v>
      </c>
    </row>
    <row r="165" spans="1:3" x14ac:dyDescent="0.5">
      <c r="A165" t="s">
        <v>798</v>
      </c>
      <c r="B165">
        <v>63</v>
      </c>
      <c r="C165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bathroom data</vt:lpstr>
      <vt:lpstr>bedroom data</vt:lpstr>
      <vt:lpstr>sqft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Peter Swearingen</cp:lastModifiedBy>
  <dcterms:modified xsi:type="dcterms:W3CDTF">2026-06-16T16:04:24Z</dcterms:modified>
</cp:coreProperties>
</file>